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Chapter 3" sheetId="1" r:id="rId5"/>
    <sheet state="visible" name="Copy of Copy of Chapter 3 1" sheetId="2" r:id="rId6"/>
    <sheet state="visible" name="Copy of Copy of Chapter 3" sheetId="3" r:id="rId7"/>
  </sheets>
  <definedNames/>
  <calcPr/>
</workbook>
</file>

<file path=xl/sharedStrings.xml><?xml version="1.0" encoding="utf-8"?>
<sst xmlns="http://schemas.openxmlformats.org/spreadsheetml/2006/main" count="514" uniqueCount="168">
  <si>
    <t>Given Table</t>
  </si>
  <si>
    <t>Constraints</t>
  </si>
  <si>
    <t>Designs</t>
  </si>
  <si>
    <t>ARUCO</t>
  </si>
  <si>
    <t>Faster R-CNN</t>
  </si>
  <si>
    <t>EasyOCR</t>
  </si>
  <si>
    <t>ORB + Ransac</t>
  </si>
  <si>
    <t>Pyteserract</t>
  </si>
  <si>
    <t>SSD with MobileNet</t>
  </si>
  <si>
    <t>Optical Flow</t>
  </si>
  <si>
    <t>Hybrid</t>
  </si>
  <si>
    <t>DETR</t>
  </si>
  <si>
    <t>1. Storage Efficiency (Storage Consumption)</t>
  </si>
  <si>
    <t>Efficiency (Storage Consumption)</t>
  </si>
  <si>
    <t>Functionality (Detection Accuracy)</t>
  </si>
  <si>
    <t>2. Performance (Latency)</t>
  </si>
  <si>
    <t>Performance (Latency)</t>
  </si>
  <si>
    <t>Usability (Transaction Speed)</t>
  </si>
  <si>
    <t>3. Maintainability (Maintainability Index Score)</t>
  </si>
  <si>
    <t>Functionality (Extraction Accuracy)</t>
  </si>
  <si>
    <t>4. Memory Efficiency (RAM Consumption)</t>
  </si>
  <si>
    <t>Environmental Robustness (Lighting Sensitivity Rate)</t>
  </si>
  <si>
    <t>Compatibility (Maintanability Index Score)</t>
  </si>
  <si>
    <t>Capability (Multi-Object Detection)</t>
  </si>
  <si>
    <t xml:space="preserve"> </t>
  </si>
  <si>
    <t>Deployability (Model Complexity)</t>
  </si>
  <si>
    <t>Cost (Resource Utilization)</t>
  </si>
  <si>
    <t>5. Computational Efficiency (CPU Utilization)</t>
  </si>
  <si>
    <t>Design Trade-off Table</t>
  </si>
  <si>
    <t>Preference</t>
  </si>
  <si>
    <t>Criterion Importance</t>
  </si>
  <si>
    <t>Scale (0-10)</t>
  </si>
  <si>
    <t>Percentage (%)</t>
  </si>
  <si>
    <t>Maximize</t>
  </si>
  <si>
    <t>Minimize</t>
  </si>
  <si>
    <t>Total</t>
  </si>
  <si>
    <t>Raw Ranking For Three Designs</t>
  </si>
  <si>
    <t>Sensitivity Analysis Table</t>
  </si>
  <si>
    <t>Critirion Importance</t>
  </si>
  <si>
    <t>Design</t>
  </si>
  <si>
    <t>Winner count</t>
  </si>
  <si>
    <t xml:space="preserve">Standard Deviation	</t>
  </si>
  <si>
    <t>Percentage</t>
  </si>
  <si>
    <t>Weighted Score</t>
  </si>
  <si>
    <t>Criterion importance index</t>
  </si>
  <si>
    <t>Functionality (Cyclomatic Complexity)</t>
  </si>
  <si>
    <t>Manufacturability (Training Time)</t>
  </si>
  <si>
    <t>Winners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</si>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</sst>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sz val="12.0"/>
      <color rgb="FF000000"/>
      <name val="'Arial Narrow'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wrapText="1"/>
    </xf>
    <xf borderId="3" fillId="0" fontId="3" numFmtId="0" xfId="0" applyBorder="1" applyFont="1"/>
    <xf borderId="4" fillId="0" fontId="2" numFmtId="0" xfId="0" applyAlignment="1" applyBorder="1" applyFont="1">
      <alignment horizontal="center" readingOrder="0" shrinkToFit="0" wrapText="1"/>
    </xf>
    <xf borderId="5" fillId="0" fontId="3" numFmtId="0" xfId="0" applyBorder="1" applyFont="1"/>
    <xf borderId="6" fillId="2" fontId="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wrapText="1"/>
    </xf>
    <xf borderId="6" fillId="0" fontId="2" numFmtId="4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2" fillId="2" fontId="2" numFmtId="0" xfId="0" applyAlignment="1" applyBorder="1" applyFill="1" applyFont="1">
      <alignment horizontal="center" readingOrder="0" shrinkToFit="0" vertical="center" wrapText="1"/>
    </xf>
    <xf borderId="7" fillId="0" fontId="3" numFmtId="0" xfId="0" applyBorder="1" applyFont="1"/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shrinkToFit="0" wrapText="1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6" fillId="0" fontId="5" numFmtId="0" xfId="0" applyAlignment="1" applyBorder="1" applyFont="1">
      <alignment shrinkToFit="0" vertical="bottom" wrapText="1"/>
    </xf>
    <xf borderId="8" fillId="0" fontId="2" numFmtId="0" xfId="0" applyBorder="1" applyFont="1"/>
    <xf borderId="3" fillId="2" fontId="2" numFmtId="0" xfId="0" applyAlignment="1" applyBorder="1" applyFill="1" applyFont="1">
      <alignment horizontal="center" readingOrder="0"/>
    </xf>
    <xf borderId="6" fillId="2" fontId="2" numFmtId="0" xfId="0" applyAlignment="1" applyBorder="1" applyFill="1" applyFont="1">
      <alignment horizontal="center" readingOrder="0"/>
    </xf>
    <xf borderId="9" fillId="2" fontId="2" numFmtId="0" xfId="0" applyAlignment="1" applyBorder="1" applyFill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0" fillId="2" fontId="2" numFmtId="0" xfId="0" applyAlignment="1" applyFill="1" applyFont="1">
      <alignment horizontal="center" readingOrder="0" shrinkToFit="0" textRotation="0" vertical="center" wrapText="1"/>
    </xf>
    <xf borderId="12" fillId="0" fontId="3" numFmtId="0" xfId="0" applyBorder="1" applyFont="1"/>
    <xf borderId="3" fillId="2" fontId="5" numFmtId="0" xfId="0" applyAlignment="1" applyBorder="1" applyFill="1" applyFont="1">
      <alignment horizontal="center" readingOrder="0" shrinkToFit="0" vertical="center" wrapText="1"/>
    </xf>
    <xf borderId="13" fillId="0" fontId="3" numFmtId="0" xfId="0" applyBorder="1" applyFont="1"/>
    <xf borderId="14" fillId="0" fontId="3" numFmtId="0" xfId="0" applyBorder="1" applyFont="1"/>
    <xf borderId="5" fillId="2" fontId="2" numFmtId="0" xfId="0" applyAlignment="1" applyBorder="1" applyFill="1" applyFont="1">
      <alignment horizontal="center" readingOrder="0" shrinkToFit="0" wrapText="1"/>
    </xf>
    <xf borderId="6" fillId="2" fontId="5" numFmtId="0" xfId="0" applyAlignment="1" applyBorder="1" applyFill="1" applyFont="1">
      <alignment horizontal="center" shrinkToFit="0" vertical="center" wrapText="1"/>
    </xf>
    <xf borderId="6" fillId="2" fontId="2" numFmtId="0" xfId="0" applyAlignment="1" applyBorder="1" applyFill="1" applyFont="1">
      <alignment readingOrder="0" shrinkToFit="0" wrapText="1"/>
    </xf>
    <xf borderId="6" fillId="0" fontId="2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/>
    </xf>
    <xf borderId="6" fillId="0" fontId="2" numFmtId="0" xfId="0" applyBorder="1" applyFont="1"/>
    <xf borderId="0" fillId="0" fontId="2" numFmtId="0" xfId="0" applyFont="1"/>
    <xf borderId="0" fillId="0" fontId="2" numFmtId="0" xfId="0" applyAlignment="1" applyFont="1">
      <alignment vertical="center"/>
    </xf>
    <xf borderId="6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'Copy of Chapter 3'!$L$34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'Copy of Chapter 3'!$L$35:$L$154</c:f>
              <c:numCache/>
            </c:numRef>
          </c:val>
          <c:smooth val="1"/>
        </c:ser>
        <c:ser>
          <c:idx val="1"/>
          <c:order val="1"/>
          <c:tx>
            <c:strRef>
              <c:f>'Copy of Chapter 3'!$M$34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'Copy of Chapter 3'!$M$35:$M$154</c:f>
              <c:numCache/>
            </c:numRef>
          </c:val>
          <c:smooth val="1"/>
        </c:ser>
        <c:ser>
          <c:idx val="2"/>
          <c:order val="2"/>
          <c:tx>
            <c:strRef>
              <c:f>'Copy of Chapter 3'!$N$34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'Copy of Chapter 3'!$N$35:$N$154</c:f>
              <c:numCache/>
            </c:numRef>
          </c:val>
          <c:smooth val="1"/>
        </c:ser>
        <c:axId val="1062166228"/>
        <c:axId val="1381326824"/>
      </c:radarChart>
      <c:catAx>
        <c:axId val="1062166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326824"/>
      </c:catAx>
      <c:valAx>
        <c:axId val="1381326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166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'Copy of Copy of Chapter 3 1'!$L$34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'Copy of Copy of Chapter 3 1'!$L$35:$L$154</c:f>
              <c:numCache/>
            </c:numRef>
          </c:val>
          <c:smooth val="1"/>
        </c:ser>
        <c:ser>
          <c:idx val="1"/>
          <c:order val="1"/>
          <c:tx>
            <c:strRef>
              <c:f>'Copy of Copy of Chapter 3 1'!$M$34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'Copy of Copy of Chapter 3 1'!$M$35:$M$154</c:f>
              <c:numCache/>
            </c:numRef>
          </c:val>
          <c:smooth val="1"/>
        </c:ser>
        <c:ser>
          <c:idx val="2"/>
          <c:order val="2"/>
          <c:tx>
            <c:strRef>
              <c:f>'Copy of Copy of Chapter 3 1'!$N$34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'Copy of Copy of Chapter 3 1'!$N$35:$N$154</c:f>
              <c:numCache/>
            </c:numRef>
          </c:val>
          <c:smooth val="1"/>
        </c:ser>
        <c:axId val="780392531"/>
        <c:axId val="2636110"/>
      </c:radarChart>
      <c:catAx>
        <c:axId val="780392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6110"/>
      </c:catAx>
      <c:valAx>
        <c:axId val="2636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3925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'Copy of Copy of Chapter 3'!$L$34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'Copy of Copy of Chapter 3'!$L$35:$L$154</c:f>
              <c:numCache/>
            </c:numRef>
          </c:val>
          <c:smooth val="1"/>
        </c:ser>
        <c:ser>
          <c:idx val="1"/>
          <c:order val="1"/>
          <c:tx>
            <c:strRef>
              <c:f>'Copy of Copy of Chapter 3'!$M$34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'Copy of Copy of Chapter 3'!$M$35:$M$154</c:f>
              <c:numCache/>
            </c:numRef>
          </c:val>
          <c:smooth val="1"/>
        </c:ser>
        <c:ser>
          <c:idx val="2"/>
          <c:order val="2"/>
          <c:tx>
            <c:strRef>
              <c:f>'Copy of Copy of Chapter 3'!$N$34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'Copy of Copy of Chapter 3'!$N$35:$N$154</c:f>
              <c:numCache/>
            </c:numRef>
          </c:val>
          <c:smooth val="1"/>
        </c:ser>
        <c:axId val="1225239528"/>
        <c:axId val="1699705713"/>
      </c:radarChart>
      <c:catAx>
        <c:axId val="1225239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705713"/>
      </c:catAx>
      <c:valAx>
        <c:axId val="1699705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239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5</xdr:row>
      <xdr:rowOff>428625</xdr:rowOff>
    </xdr:from>
    <xdr:ext cx="5191125" cy="3219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5</xdr:row>
      <xdr:rowOff>428625</xdr:rowOff>
    </xdr:from>
    <xdr:ext cx="5191125" cy="3219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1114425</xdr:colOff>
      <xdr:row>3</xdr:row>
      <xdr:rowOff>304800</xdr:rowOff>
    </xdr:from>
    <xdr:ext cx="8143875" cy="5057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5.63"/>
  </cols>
  <sheetData>
    <row r="1">
      <c r="A1" s="1" t="s">
        <v>0</v>
      </c>
      <c r="B1" s="2"/>
      <c r="C1" s="2"/>
      <c r="D1" s="2"/>
      <c r="E1" s="3"/>
      <c r="F1" s="3"/>
      <c r="G1" s="3"/>
    </row>
    <row r="2">
      <c r="A2" s="4" t="s">
        <v>1</v>
      </c>
      <c r="B2" s="5" t="s">
        <v>2</v>
      </c>
      <c r="C2" s="6"/>
      <c r="D2" s="6"/>
      <c r="E2" s="7"/>
      <c r="F2" s="3"/>
      <c r="G2" s="3"/>
    </row>
    <row r="3">
      <c r="A3" s="8"/>
      <c r="B3" s="9" t="s">
        <v>3</v>
      </c>
      <c r="C3" s="9" t="s">
        <v>6</v>
      </c>
      <c r="D3" s="9" t="s">
        <v>9</v>
      </c>
      <c r="F3" s="3"/>
      <c r="G3" s="3"/>
    </row>
    <row r="4">
      <c r="A4" s="11" t="s">
        <v>12</v>
      </c>
      <c r="B4" s="12">
        <v>13.1</v>
      </c>
      <c r="C4" s="12">
        <v>20.8</v>
      </c>
      <c r="D4" s="12">
        <v>17.6</v>
      </c>
      <c r="F4" s="3"/>
      <c r="G4" s="3"/>
    </row>
    <row r="5">
      <c r="A5" s="11" t="s">
        <v>15</v>
      </c>
      <c r="B5" s="12">
        <v>356.94</v>
      </c>
      <c r="C5" s="12">
        <v>376.3</v>
      </c>
      <c r="D5" s="12">
        <v>434.28</v>
      </c>
      <c r="F5" s="3"/>
      <c r="G5" s="3"/>
    </row>
    <row r="6">
      <c r="A6" s="11" t="s">
        <v>18</v>
      </c>
      <c r="B6" s="12">
        <v>64.27</v>
      </c>
      <c r="C6" s="12">
        <v>32.98</v>
      </c>
      <c r="D6" s="12">
        <v>40.97</v>
      </c>
      <c r="F6" s="3"/>
      <c r="G6" s="3"/>
    </row>
    <row r="7">
      <c r="A7" s="11" t="s">
        <v>20</v>
      </c>
      <c r="B7" s="14">
        <v>1427.7</v>
      </c>
      <c r="C7" s="14">
        <v>1338.55</v>
      </c>
      <c r="D7" s="14">
        <v>1413.62</v>
      </c>
      <c r="E7" s="15" t="s">
        <v>24</v>
      </c>
      <c r="F7" s="16"/>
      <c r="G7" s="3"/>
    </row>
    <row r="8">
      <c r="A8" s="11" t="s">
        <v>27</v>
      </c>
      <c r="B8" s="12">
        <v>49.0</v>
      </c>
      <c r="C8" s="12">
        <v>50.76</v>
      </c>
      <c r="D8" s="12">
        <v>47.2</v>
      </c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17" t="s">
        <v>28</v>
      </c>
      <c r="B10" s="18"/>
      <c r="C10" s="3"/>
      <c r="D10" s="3"/>
      <c r="E10" s="3"/>
      <c r="F10" s="3"/>
      <c r="G10" s="3"/>
    </row>
    <row r="11">
      <c r="A11" s="4" t="s">
        <v>1</v>
      </c>
      <c r="B11" s="4" t="s">
        <v>29</v>
      </c>
      <c r="C11" s="19" t="s">
        <v>30</v>
      </c>
      <c r="D11" s="20"/>
      <c r="E11" s="3"/>
      <c r="F11" s="3"/>
      <c r="G11" s="3"/>
    </row>
    <row r="12">
      <c r="A12" s="8"/>
      <c r="B12" s="8"/>
      <c r="C12" s="9" t="s">
        <v>31</v>
      </c>
      <c r="D12" s="9" t="s">
        <v>32</v>
      </c>
      <c r="E12" s="3"/>
      <c r="F12" s="3"/>
      <c r="G12" s="3"/>
    </row>
    <row r="13">
      <c r="A13" s="11" t="s">
        <v>12</v>
      </c>
      <c r="B13" s="21" t="s">
        <v>34</v>
      </c>
      <c r="C13" s="21">
        <v>6.0</v>
      </c>
      <c r="D13" s="22" t="n">
        <f>C13/$C$18*100</f>
        <v>15</v>
      </c>
      <c r="E13" s="3"/>
      <c r="F13" s="3"/>
      <c r="G13" s="3"/>
    </row>
    <row r="14">
      <c r="A14" s="11" t="s">
        <v>15</v>
      </c>
      <c r="B14" s="21" t="s">
        <v>34</v>
      </c>
      <c r="C14" s="21">
        <v>10.0</v>
      </c>
      <c r="D14" s="22" t="n">
        <f>C14/$C$18*100</f>
        <v>25</v>
      </c>
      <c r="E14" s="3"/>
      <c r="F14" s="3"/>
      <c r="G14" s="3"/>
    </row>
    <row r="15">
      <c r="A15" s="11" t="s">
        <v>18</v>
      </c>
      <c r="B15" s="21" t="s">
        <v>33</v>
      </c>
      <c r="C15" s="21">
        <v>7.0</v>
      </c>
      <c r="D15" s="22" t="n">
        <f>C15/$C$18*100</f>
        <v>17.5</v>
      </c>
      <c r="E15" s="3"/>
      <c r="F15" s="3"/>
      <c r="G15" s="3"/>
    </row>
    <row r="16">
      <c r="A16" s="11" t="s">
        <v>20</v>
      </c>
      <c r="B16" s="21" t="s">
        <v>34</v>
      </c>
      <c r="C16" s="21">
        <v>9.0</v>
      </c>
      <c r="D16" s="22" t="n">
        <f>C16/$C$18*100</f>
        <v>22.5</v>
      </c>
      <c r="E16" s="3"/>
      <c r="F16" s="3"/>
      <c r="G16" s="3"/>
    </row>
    <row r="17">
      <c r="A17" s="11" t="s">
        <v>27</v>
      </c>
      <c r="B17" s="21" t="s">
        <v>34</v>
      </c>
      <c r="C17" s="21">
        <v>8.0</v>
      </c>
      <c r="D17" s="22" t="n">
        <f>C17/$C$18*100</f>
        <v>20</v>
      </c>
      <c r="E17" s="3"/>
      <c r="F17" s="3"/>
      <c r="G17" s="3"/>
    </row>
    <row r="18">
      <c r="A18" s="21" t="s">
        <v>35</v>
      </c>
      <c r="B18" s="23"/>
      <c r="C18" s="22">
        <f t="shared" ref="C18:D18" si="2">sum(C13:C17)</f>
        <v>40</v>
      </c>
      <c r="D18" s="22">
        <f t="shared" si="2"/>
        <v>100</v>
      </c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24" t="s">
        <v>36</v>
      </c>
    </row>
    <row r="21">
      <c r="A21" s="25" t="s">
        <v>1</v>
      </c>
      <c r="B21" s="19" t="s">
        <v>30</v>
      </c>
      <c r="C21" s="20"/>
      <c r="D21" s="26" t="s">
        <v>2</v>
      </c>
      <c r="E21" s="6"/>
      <c r="F21" s="20"/>
      <c r="G21" s="27"/>
      <c r="L21" s="28"/>
      <c r="O21" s="29"/>
    </row>
    <row r="22">
      <c r="A22" s="8"/>
      <c r="B22" s="9" t="s">
        <v>31</v>
      </c>
      <c r="C22" s="9" t="s">
        <v>32</v>
      </c>
      <c r="D22" s="9" t="str">
        <f t="shared" ref="D22:F22" si="3">B3</f>
        <v>ARUCO</v>
      </c>
      <c r="E22" s="9" t="str">
        <f t="shared" si="3"/>
        <v>ORB + Ransac</v>
      </c>
      <c r="F22" s="9" t="str">
        <f t="shared" si="3"/>
        <v>Optical Flow</v>
      </c>
      <c r="L22" s="30"/>
      <c r="M22" s="30"/>
      <c r="N22" s="30"/>
      <c r="O22" s="31"/>
      <c r="P22" s="31"/>
      <c r="Q22" s="31"/>
    </row>
    <row r="23">
      <c r="A23" s="32" t="str">
        <f t="shared" ref="A23:A27" si="6">A4</f>
        <v>1. Storage Efficiency (Storage Consumption)</v>
      </c>
      <c r="B23" s="21" t="n">
        <f>C13</f>
        <v>6</v>
      </c>
      <c r="C23" s="21" t="n">
        <f>D13</f>
        <v>15</v>
      </c>
      <c r="D23" s="21" t="n">
        <f>IF(MAX($B4:$D4)=MIN($B4:$D4),5.5,IF($B$13="Maximize",1+9*(B4-MIN($B4:$D4))/(MAX($B4:$D4)-MIN($B4:$D4)),1+9*(MAX($B4:$D4)-B4)/(MAX($B4:$D4)-MIN($B4:$D4))))</f>
        <v>10</v>
      </c>
      <c r="E23" s="21" t="n">
        <f>IF(MAX($B4:$D4)=MIN($B4:$D4),5.5,IF($B$13="Maximize",1+9*(C4-MIN($B4:$D4))/(MAX($B4:$D4)-MIN($B4:$D4)),1+9*(MAX($B4:$D4)-C4)/(MAX($B4:$D4)-MIN($B4:$D4))))</f>
        <v>1</v>
      </c>
      <c r="F23" s="21" t="n">
        <f>IF(MAX($B4:$D4)=MIN($B4:$D4),5.5,IF($B$13="Maximize",1+9*(D4-MIN($B4:$D4))/(MAX($B4:$D4)-MIN($B4:$D4)),1+9*(MAX($B4:$D4)-D4)/(MAX($B4:$D4)-MIN($B4:$D4))))</f>
        <v>4.7402597402597388</v>
      </c>
      <c r="O23" s="31"/>
      <c r="P23" s="31"/>
      <c r="Q23" s="31"/>
    </row>
    <row r="24">
      <c r="A24" s="32" t="str">
        <f t="shared" si="6"/>
        <v>2. Performance (Latency)</v>
      </c>
      <c r="B24" s="21" t="n">
        <f>C14</f>
        <v>10</v>
      </c>
      <c r="C24" s="21" t="n">
        <f>D14</f>
        <v>25</v>
      </c>
      <c r="D24" s="21" t="n">
        <f>IF(MAX($B5:$D5)=MIN($B5:$D5),5.5,IF($B$14="Maximize",1+9*(B5-MIN($B5:$D5))/(MAX($B5:$D5)-MIN($B5:$D5)),1+9*(MAX($B5:$D5)-B5)/(MAX($B5:$D5)-MIN($B5:$D5))))</f>
        <v>10</v>
      </c>
      <c r="E24" s="21" t="n">
        <f>IF(MAX($B5:$D5)=MIN($B5:$D5),5.5,IF($B$14="Maximize",1+9*(C5-MIN($B5:$D5))/(MAX($B5:$D5)-MIN($B5:$D5)),1+9*(MAX($B5:$D5)-C5)/(MAX($B5:$D5)-MIN($B5:$D5))))</f>
        <v>7.7470907680372365</v>
      </c>
      <c r="F24" s="21" t="n">
        <f>IF(MAX($B5:$D5)=MIN($B5:$D5),5.5,IF($B$14="Maximize",1+9*(D5-MIN($B5:$D5))/(MAX($B5:$D5)-MIN($B5:$D5)),1+9*(MAX($B5:$D5)-D5)/(MAX($B5:$D5)-MIN($B5:$D5))))</f>
        <v>1</v>
      </c>
      <c r="O24" s="31"/>
      <c r="P24" s="31"/>
      <c r="Q24" s="31"/>
    </row>
    <row r="25">
      <c r="A25" s="32" t="str">
        <f t="shared" si="6"/>
        <v>3. Maintainability (Maintainability Index Score)</v>
      </c>
      <c r="B25" s="21" t="n">
        <f>C15</f>
        <v>7</v>
      </c>
      <c r="C25" s="21" t="n">
        <f>D15</f>
        <v>17.5</v>
      </c>
      <c r="D25" s="21" t="n">
        <f>IF(MAX($B6:$D6)=MIN($B6:$D6),5.5,IF($B$15="Maximize",1+9*(B6-MIN($B6:$D6))/(MAX($B6:$D6)-MIN($B6:$D6)),1+9*(MAX($B6:$D6)-B6)/(MAX($B6:$D6)-MIN($B6:$D6))))</f>
        <v>10</v>
      </c>
      <c r="E25" s="21" t="n">
        <f>IF(MAX($B6:$D6)=MIN($B6:$D6),5.5,IF($B$15="Maximize",1+9*(C6-MIN($B6:$D6))/(MAX($B6:$D6)-MIN($B6:$D6)),1+9*(MAX($B6:$D6)-C6)/(MAX($B6:$D6)-MIN($B6:$D6))))</f>
        <v>1</v>
      </c>
      <c r="F25" s="21" t="n">
        <f>IF(MAX($B6:$D6)=MIN($B6:$D6),5.5,IF($B$15="Maximize",1+9*(D6-MIN($B6:$D6))/(MAX($B6:$D6)-MIN($B6:$D6)),1+9*(MAX($B6:$D6)-D6)/(MAX($B6:$D6)-MIN($B6:$D6))))</f>
        <v>3.2981783317353797</v>
      </c>
      <c r="O25" s="31"/>
      <c r="P25" s="31"/>
      <c r="Q25" s="31"/>
    </row>
    <row r="26">
      <c r="A26" s="32" t="str">
        <f t="shared" si="6"/>
        <v>4. Memory Efficiency (RAM Consumption)</v>
      </c>
      <c r="B26" s="21" t="n">
        <f>C16</f>
        <v>9</v>
      </c>
      <c r="C26" s="21" t="n">
        <f>D16</f>
        <v>22.5</v>
      </c>
      <c r="D26" s="21" t="n">
        <f>IF(MAX($B7:$D7)=MIN($B7:$D7),5.5,IF($B$16="Maximize",1+9*(B7-MIN($B7:$D7))/(MAX($B7:$D7)-MIN($B7:$D7)),1+9*(MAX($B7:$D7)-B7)/(MAX($B7:$D7)-MIN($B7:$D7))))</f>
        <v>1</v>
      </c>
      <c r="E26" s="21" t="n">
        <f>IF(MAX($B7:$D7)=MIN($B7:$D7),5.5,IF($B$16="Maximize",1+9*(C7-MIN($B7:$D7))/(MAX($B7:$D7)-MIN($B7:$D7)),1+9*(MAX($B7:$D7)-C7)/(MAX($B7:$D7)-MIN($B7:$D7))))</f>
        <v>10</v>
      </c>
      <c r="F26" s="21" t="n">
        <f>IF(MAX($B7:$D7)=MIN($B7:$D7),5.5,IF($B$16="Maximize",1+9*(D7-MIN($B7:$D7))/(MAX($B7:$D7)-MIN($B7:$D7)),1+9*(MAX($B7:$D7)-D7)/(MAX($B7:$D7)-MIN($B7:$D7))))</f>
        <v>2.42142456533933</v>
      </c>
      <c r="O26" s="31"/>
      <c r="P26" s="31"/>
      <c r="Q26" s="31"/>
    </row>
    <row r="27">
      <c r="A27" s="32" t="str">
        <f t="shared" si="6"/>
        <v>5. Computational Efficiency (CPU Utilization)</v>
      </c>
      <c r="B27" s="21" t="n">
        <f>C17</f>
        <v>8</v>
      </c>
      <c r="C27" s="21" t="n">
        <f>D17</f>
        <v>20</v>
      </c>
      <c r="D27" s="21" t="n">
        <f>IF(MAX($B8:$D8)=MIN($B8:$D8),5.5,IF($B$17="Maximize",1+9*(B8-MIN($B8:$D8))/(MAX($B8:$D8)-MIN($B8:$D8)),1+9*(MAX($B8:$D8)-B8)/(MAX($B8:$D8)-MIN($B8:$D8))))</f>
        <v>5.4494382022471921</v>
      </c>
      <c r="E27" s="21" t="n">
        <f>IF(MAX($B8:$D8)=MIN($B8:$D8),5.5,IF($B$17="Maximize",1+9*(C8-MIN($B8:$D8))/(MAX($B8:$D8)-MIN($B8:$D8)),1+9*(MAX($B8:$D8)-C8)/(MAX($B8:$D8)-MIN($B8:$D8))))</f>
        <v>1</v>
      </c>
      <c r="F27" s="21" t="n">
        <f>IF(MAX($B8:$D8)=MIN($B8:$D8),5.5,IF($B$17="Maximize",1+9*(D8-MIN($B8:$D8))/(MAX($B8:$D8)-MIN($B8:$D8)),1+9*(MAX($B8:$D8)-D8)/(MAX($B8:$D8)-MIN($B8:$D8))))</f>
        <v>10</v>
      </c>
      <c r="O27" s="31"/>
      <c r="P27" s="31"/>
      <c r="Q27" s="31"/>
    </row>
    <row r="28">
      <c r="A28" s="21" t="s">
        <v>35</v>
      </c>
      <c r="B28" s="21">
        <f t="shared" ref="B28:C28" si="15">C18</f>
        <v>40</v>
      </c>
      <c r="C28" s="21">
        <f t="shared" si="15"/>
        <v>100</v>
      </c>
      <c r="D28" s="22" t="n">
        <f>SUMPRODUCT(D23:D27,$C$23:$C$27)/100</f>
        <v>7.064887640449439</v>
      </c>
      <c r="E28" s="22" t="n">
        <f>SUMPRODUCT(E23:E27,$C$23:$C$27)/100</f>
        <v>4.7117726920093093</v>
      </c>
      <c r="F28" s="22" t="n">
        <f>SUMPRODUCT(F23:F27,$C$23:$C$27)/100</f>
        <v>4.0830406962940016</v>
      </c>
      <c r="O28" s="31"/>
      <c r="P28" s="31"/>
      <c r="Q28" s="31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24" t="s">
        <v>37</v>
      </c>
    </row>
    <row r="32">
      <c r="A32" s="33"/>
      <c r="B32" s="34" t="s">
        <v>38</v>
      </c>
      <c r="C32" s="6"/>
      <c r="D32" s="6"/>
      <c r="E32" s="6"/>
      <c r="F32" s="6"/>
      <c r="G32" s="34"/>
      <c r="H32" s="6"/>
      <c r="I32" s="6"/>
      <c r="J32" s="6"/>
      <c r="K32" s="20"/>
      <c r="L32" s="26" t="s">
        <v>39</v>
      </c>
      <c r="M32" s="6"/>
      <c r="N32" s="6"/>
      <c r="O32" s="35"/>
      <c r="P32" s="36" t="s">
        <v>40</v>
      </c>
      <c r="Q32" s="37"/>
      <c r="R32" s="38"/>
      <c r="S32" s="39" t="s">
        <v>41</v>
      </c>
    </row>
    <row r="33">
      <c r="A33" s="40"/>
      <c r="B33" s="41" t="s">
        <v>31</v>
      </c>
      <c r="C33" s="6"/>
      <c r="D33" s="6"/>
      <c r="E33" s="6"/>
      <c r="F33" s="20"/>
      <c r="G33" s="26" t="s">
        <v>42</v>
      </c>
      <c r="H33" s="6"/>
      <c r="I33" s="6"/>
      <c r="J33" s="6"/>
      <c r="K33" s="20"/>
      <c r="L33" s="19" t="s">
        <v>43</v>
      </c>
      <c r="M33" s="6"/>
      <c r="N33" s="6"/>
      <c r="O33" s="9"/>
      <c r="P33" s="42"/>
      <c r="Q33" s="43"/>
      <c r="R33" s="40"/>
    </row>
    <row r="34">
      <c r="A34" s="44" t="s">
        <v>44</v>
      </c>
      <c r="B34" s="45" t="str">
        <f>A4</f>
        <v>1. Storage Efficiency (Storage Consumption)</v>
      </c>
      <c r="C34" s="45" t="str">
        <f>A5</f>
        <v>2. Performance (Latency)</v>
      </c>
      <c r="D34" s="45" t="str">
        <f>A6</f>
        <v>3. Maintainability (Maintainability Index Score)</v>
      </c>
      <c r="E34" s="46" t="str">
        <f>A7</f>
        <v>4. Memory Efficiency (RAM Consumption)</v>
      </c>
      <c r="F34" s="46" t="str">
        <f>A8</f>
        <v>5. Computational Efficiency (CPU Utilization)</v>
      </c>
      <c r="G34" s="45" t="str">
        <f>A4</f>
        <v>1. Storage Efficiency (Storage Consumption)</v>
      </c>
      <c r="H34" s="45" t="str">
        <f>A5</f>
        <v>2. Performance (Latency)</v>
      </c>
      <c r="I34" s="45" t="str">
        <f>A6</f>
        <v>3. Maintainability (Maintainability Index Score)</v>
      </c>
      <c r="J34" s="46" t="str">
        <f>A7</f>
        <v>4. Memory Efficiency (RAM Consumption)</v>
      </c>
      <c r="K34" s="46" t="str">
        <f>A8</f>
        <v>5. Computational Efficiency (CPU Utilization)</v>
      </c>
      <c r="L34" s="9" t="str">
        <f t="shared" ref="L34:N34" si="17">B3</f>
        <v>ARUCO</v>
      </c>
      <c r="M34" s="9" t="str">
        <f t="shared" si="17"/>
        <v>ORB + Ransac</v>
      </c>
      <c r="N34" s="9" t="str">
        <f t="shared" si="17"/>
        <v>Optical Flow</v>
      </c>
      <c r="O34" s="9" t="s">
        <v>47</v>
      </c>
      <c r="P34" s="9" t="str">
        <f>L34</f>
        <v>ARUCO</v>
      </c>
      <c r="Q34" s="9" t="str">
        <f>M34</f>
        <v>ORB + Ransac</v>
      </c>
      <c r="R34" s="9" t="str">
        <f>N34</f>
        <v>Optical Flow</v>
      </c>
      <c r="S34" s="9" t="str">
        <f>L34</f>
        <v>ARUCO</v>
      </c>
      <c r="T34" s="9" t="str">
        <f>M34</f>
        <v>ORB + Ransac</v>
      </c>
      <c r="U34" s="9" t="str">
        <f>N34</f>
        <v>Optical Flow</v>
      </c>
      <c r="V34" s="9" t="inlineStr">
        <is>
          <t>Ties</t>
        </is>
      </c>
    </row>
    <row r="35">
      <c r="A35" s="47" t="s">
        <v>48</v>
      </c>
      <c r="B35" s="48" t="n">
        <f>$C$13</f>
        <v>6</v>
      </c>
      <c r="C35" s="48" t="n">
        <f>$C$14</f>
        <v>10</v>
      </c>
      <c r="D35" s="48" t="n">
        <f>$C$15</f>
        <v>7</v>
      </c>
      <c r="E35" s="49" t="n">
        <f>$C$16</f>
        <v>9</v>
      </c>
      <c r="F35" s="49" t="n">
        <f>$C$17</f>
        <v>8</v>
      </c>
      <c r="G35" s="50" t="n">
        <f>B35/$C$18*100</f>
        <v>15</v>
      </c>
      <c r="H35" s="50" t="n">
        <f>C35/$C$18*100</f>
        <v>25</v>
      </c>
      <c r="I35" s="50" t="n">
        <f>D35/$C$18*100</f>
        <v>17.5</v>
      </c>
      <c r="J35" s="50" t="n">
        <f>E35/$C$18*100</f>
        <v>22.5</v>
      </c>
      <c r="K35" s="50" t="n">
        <f>F35/$C$18*100</f>
        <v>20</v>
      </c>
      <c r="L35" s="22" t="n">
        <f>SUM(D$23*$G35,D$24*$H35,D$25*$I35,D$26*$J35,D$27*$K35)/100</f>
        <v>7.064887640449439</v>
      </c>
      <c r="M35" s="22" t="n">
        <f>SUM(E$23*$G35,E$24*$H35,E$25*$I35,E$26*$J35,E$27*$K35)/100</f>
        <v>4.7117726920093093</v>
      </c>
      <c r="N35" s="22" t="n">
        <f>SUM(F$23*$G35,F$24*$H35,F$25*$I35,F$26*$J35,F$27*$K35)/100</f>
        <v>4.0830406962940016</v>
      </c>
      <c r="O35" s="3" t="str">
        <f>IF(COUNTIF(L35:N35,MAX(L35:N35))&gt;1,"Tie",INDEX($L$34:$N$34,1,MATCH(MAX(L35:N35),L35:N35,0)))</f>
        <v>ARUCO</v>
      </c>
      <c r="P35" s="51" t="n">
        <f>COUNTIF($O$35:$O$154,P34)</f>
        <v>120</v>
      </c>
      <c r="Q35" s="51" t="n">
        <f>COUNTIF($O$35:$O$154,Q34)</f>
        <v>0</v>
      </c>
      <c r="R35" s="51" t="n">
        <f>COUNTIF($O$35:$O$154,R34)</f>
        <v>0</v>
      </c>
      <c r="S35" s="51" t="n">
        <f>STDEVA(L35:L154)</f>
        <v>0.31998572299810724</v>
      </c>
      <c r="T35" s="51" t="n">
        <f>STDEVA(M35:M154)</f>
        <v>0.34815478551297696</v>
      </c>
      <c r="U35" s="51" t="n">
        <f>STDEVA(N35:N154)</f>
        <v>0.27531360677158734</v>
      </c>
      <c r="V35" s="51" t="n">
        <f>COUNTIF($O$35:$O$154,"Tie")</f>
        <v>0</v>
      </c>
    </row>
    <row r="36">
      <c r="A36" s="47" t="s">
        <v>49</v>
      </c>
      <c r="B36" s="48" t="n">
        <f>$C$13</f>
        <v>6</v>
      </c>
      <c r="C36" s="48" t="n">
        <f>$C$14</f>
        <v>10</v>
      </c>
      <c r="D36" s="48" t="n">
        <f>$C$15</f>
        <v>7</v>
      </c>
      <c r="E36" s="49" t="n">
        <f>$C$17</f>
        <v>8</v>
      </c>
      <c r="F36" s="49" t="n">
        <f>$C$16</f>
        <v>9</v>
      </c>
      <c r="G36" s="50" t="n">
        <f>B36/$C$18*100</f>
        <v>15</v>
      </c>
      <c r="H36" s="50" t="n">
        <f>C36/$C$18*100</f>
        <v>25</v>
      </c>
      <c r="I36" s="50" t="n">
        <f>D36/$C$18*100</f>
        <v>17.5</v>
      </c>
      <c r="J36" s="50" t="n">
        <f>E36/$C$18*100</f>
        <v>20</v>
      </c>
      <c r="K36" s="50" t="n">
        <f>F36/$C$18*100</f>
        <v>22.5</v>
      </c>
      <c r="L36" s="22" t="n">
        <f>SUM(D$23*$G36,D$24*$H36,D$25*$I36,D$26*$J36,D$27*$K36)/100</f>
        <v>7.1761235955056177</v>
      </c>
      <c r="M36" s="22" t="n">
        <f>SUM(E$23*$G36,E$24*$H36,E$25*$I36,E$26*$J36,E$27*$K36)/100</f>
        <v>4.4867726920093087</v>
      </c>
      <c r="N36" s="22" t="n">
        <f>SUM(F$23*$G36,F$24*$H36,F$25*$I36,F$26*$J36,F$27*$K36)/100</f>
        <v>4.2725050821605182</v>
      </c>
      <c r="O36" s="51" t="str">
        <f>IF(COUNTIF(L36:N36,MAX(L36:N36))&gt;1,"Tie",INDEX($L$34:$N$34,1,MATCH(MAX(L36:N36),L36:N36,0)))</f>
        <v>ARUCO</v>
      </c>
    </row>
    <row r="37">
      <c r="A37" s="47" t="s">
        <v>50</v>
      </c>
      <c r="B37" s="48" t="n">
        <f>$C$13</f>
        <v>6</v>
      </c>
      <c r="C37" s="48" t="n">
        <f>$C$14</f>
        <v>10</v>
      </c>
      <c r="D37" s="48" t="n">
        <f>$C$16</f>
        <v>9</v>
      </c>
      <c r="E37" s="49" t="n">
        <f>$C$15</f>
        <v>7</v>
      </c>
      <c r="F37" s="49" t="n">
        <f>$C$17</f>
        <v>8</v>
      </c>
      <c r="G37" s="50" t="n">
        <f>B37/$C$18*100</f>
        <v>15</v>
      </c>
      <c r="H37" s="50" t="n">
        <f>C37/$C$18*100</f>
        <v>25</v>
      </c>
      <c r="I37" s="50" t="n">
        <f>D37/$C$18*100</f>
        <v>22.5</v>
      </c>
      <c r="J37" s="50" t="n">
        <f>E37/$C$18*100</f>
        <v>17.5</v>
      </c>
      <c r="K37" s="50" t="n">
        <f>F37/$C$18*100</f>
        <v>20</v>
      </c>
      <c r="L37" s="22" t="n">
        <f>SUM(D$23*$G37,D$24*$H37,D$25*$I37,D$26*$J37,D$27*$K37)/100</f>
        <v>7.5148876404494391</v>
      </c>
      <c r="M37" s="22" t="n">
        <f>SUM(E$23*$G37,E$24*$H37,E$25*$I37,E$26*$J37,E$27*$K37)/100</f>
        <v>4.2617726920093091</v>
      </c>
      <c r="N37" s="22" t="n">
        <f>SUM(F$23*$G37,F$24*$H37,F$25*$I37,F$26*$J37,F$27*$K37)/100</f>
        <v>4.1268783846138044</v>
      </c>
      <c r="O37" s="51" t="str">
        <f>IF(COUNTIF(L37:N37,MAX(L37:N37))&gt;1,"Tie",INDEX($L$34:$N$34,1,MATCH(MAX(L37:N37),L37:N37,0)))</f>
        <v>ARUCO</v>
      </c>
    </row>
    <row r="38">
      <c r="A38" s="47" t="s">
        <v>51</v>
      </c>
      <c r="B38" s="48" t="n">
        <f>$C$13</f>
        <v>6</v>
      </c>
      <c r="C38" s="48" t="n">
        <f>$C$14</f>
        <v>10</v>
      </c>
      <c r="D38" s="48" t="n">
        <f>$C$16</f>
        <v>9</v>
      </c>
      <c r="E38" s="49" t="n">
        <f>$C$17</f>
        <v>8</v>
      </c>
      <c r="F38" s="49" t="n">
        <f>$C$15</f>
        <v>7</v>
      </c>
      <c r="G38" s="50" t="n">
        <f>B38/$C$18*100</f>
        <v>15</v>
      </c>
      <c r="H38" s="50" t="n">
        <f>C38/$C$18*100</f>
        <v>25</v>
      </c>
      <c r="I38" s="50" t="n">
        <f>D38/$C$18*100</f>
        <v>22.5</v>
      </c>
      <c r="J38" s="50" t="n">
        <f>E38/$C$18*100</f>
        <v>20</v>
      </c>
      <c r="K38" s="50" t="n">
        <f>F38/$C$18*100</f>
        <v>17.5</v>
      </c>
      <c r="L38" s="22" t="n">
        <f>SUM(D$23*$G38,D$24*$H38,D$25*$I38,D$26*$J38,D$27*$K38)/100</f>
        <v>7.4036516853932586</v>
      </c>
      <c r="M38" s="22" t="n">
        <f>SUM(E$23*$G38,E$24*$H38,E$25*$I38,E$26*$J38,E$27*$K38)/100</f>
        <v>4.4867726920093087</v>
      </c>
      <c r="N38" s="22" t="n">
        <f>SUM(F$23*$G38,F$24*$H38,F$25*$I38,F$26*$J38,F$27*$K38)/100</f>
        <v>3.9374139987472874</v>
      </c>
      <c r="O38" s="51" t="str">
        <f>IF(COUNTIF(L38:N38,MAX(L38:N38))&gt;1,"Tie",INDEX($L$34:$N$34,1,MATCH(MAX(L38:N38),L38:N38,0)))</f>
        <v>ARUCO</v>
      </c>
    </row>
    <row r="39">
      <c r="A39" s="47" t="s">
        <v>52</v>
      </c>
      <c r="B39" s="48" t="n">
        <f>$C$13</f>
        <v>6</v>
      </c>
      <c r="C39" s="48" t="n">
        <f>$C$14</f>
        <v>10</v>
      </c>
      <c r="D39" s="48" t="n">
        <f>$C$17</f>
        <v>8</v>
      </c>
      <c r="E39" s="49" t="n">
        <f>$C$15</f>
        <v>7</v>
      </c>
      <c r="F39" s="49" t="n">
        <f>$C$16</f>
        <v>9</v>
      </c>
      <c r="G39" s="50" t="n">
        <f>B39/$C$18*100</f>
        <v>15</v>
      </c>
      <c r="H39" s="50" t="n">
        <f>C39/$C$18*100</f>
        <v>25</v>
      </c>
      <c r="I39" s="50" t="n">
        <f>D39/$C$18*100</f>
        <v>20</v>
      </c>
      <c r="J39" s="50" t="n">
        <f>E39/$C$18*100</f>
        <v>17.5</v>
      </c>
      <c r="K39" s="50" t="n">
        <f>F39/$C$18*100</f>
        <v>22.5</v>
      </c>
      <c r="L39" s="22" t="n">
        <f>SUM(D$23*$G39,D$24*$H39,D$25*$I39,D$26*$J39,D$27*$K39)/100</f>
        <v>7.4011235955056183</v>
      </c>
      <c r="M39" s="22" t="n">
        <f>SUM(E$23*$G39,E$24*$H39,E$25*$I39,E$26*$J39,E$27*$K39)/100</f>
        <v>4.2617726920093091</v>
      </c>
      <c r="N39" s="22" t="n">
        <f>SUM(F$23*$G39,F$24*$H39,F$25*$I39,F$26*$J39,F$27*$K39)/100</f>
        <v>4.2944239263204196</v>
      </c>
      <c r="O39" s="52" t="str">
        <f>IF(COUNTIF(L39:N39,MAX(L39:N39))&gt;1,"Tie",INDEX($L$34:$N$34,1,MATCH(MAX(L39:N39),L39:N39,0)))</f>
        <v>ARUCO</v>
      </c>
    </row>
    <row r="40">
      <c r="A40" s="47" t="s">
        <v>53</v>
      </c>
      <c r="B40" s="48" t="n">
        <f>$C$13</f>
        <v>6</v>
      </c>
      <c r="C40" s="48" t="n">
        <f>$C$14</f>
        <v>10</v>
      </c>
      <c r="D40" s="48" t="n">
        <f>$C$17</f>
        <v>8</v>
      </c>
      <c r="E40" s="49" t="n">
        <f>$C$16</f>
        <v>9</v>
      </c>
      <c r="F40" s="49" t="n">
        <f>$C$15</f>
        <v>7</v>
      </c>
      <c r="G40" s="50" t="n">
        <f>B40/$C$18*100</f>
        <v>15</v>
      </c>
      <c r="H40" s="50" t="n">
        <f>C40/$C$18*100</f>
        <v>25</v>
      </c>
      <c r="I40" s="50" t="n">
        <f>D40/$C$18*100</f>
        <v>20</v>
      </c>
      <c r="J40" s="50" t="n">
        <f>E40/$C$18*100</f>
        <v>22.5</v>
      </c>
      <c r="K40" s="50" t="n">
        <f>F40/$C$18*100</f>
        <v>17.5</v>
      </c>
      <c r="L40" s="22" t="n">
        <f>SUM(D$23*$G40,D$24*$H40,D$25*$I40,D$26*$J40,D$27*$K40)/100</f>
        <v>7.178651685393258</v>
      </c>
      <c r="M40" s="22" t="n">
        <f>SUM(E$23*$G40,E$24*$H40,E$25*$I40,E$26*$J40,E$27*$K40)/100</f>
        <v>4.7117726920093093</v>
      </c>
      <c r="N40" s="22" t="n">
        <f>SUM(F$23*$G40,F$24*$H40,F$25*$I40,F$26*$J40,F$27*$K40)/100</f>
        <v>3.9154951545873855</v>
      </c>
      <c r="O40" s="51" t="str">
        <f>IF(COUNTIF(L40:N40,MAX(L40:N40))&gt;1,"Tie",INDEX($L$34:$N$34,1,MATCH(MAX(L40:N40),L40:N40,0)))</f>
        <v>ARUCO</v>
      </c>
    </row>
    <row r="41">
      <c r="A41" s="47" t="s">
        <v>54</v>
      </c>
      <c r="B41" s="48" t="n">
        <f>$C$13</f>
        <v>6</v>
      </c>
      <c r="C41" s="48" t="n">
        <f>$C$15</f>
        <v>7</v>
      </c>
      <c r="D41" s="48" t="n">
        <f>$C$14</f>
        <v>10</v>
      </c>
      <c r="E41" s="49" t="n">
        <f>$C$16</f>
        <v>9</v>
      </c>
      <c r="F41" s="49" t="n">
        <f>$C$17</f>
        <v>8</v>
      </c>
      <c r="G41" s="50" t="n">
        <f>B41/$C$18*100</f>
        <v>15</v>
      </c>
      <c r="H41" s="50" t="n">
        <f>C41/$C$18*100</f>
        <v>17.5</v>
      </c>
      <c r="I41" s="50" t="n">
        <f>D41/$C$18*100</f>
        <v>25</v>
      </c>
      <c r="J41" s="50" t="n">
        <f>E41/$C$18*100</f>
        <v>22.5</v>
      </c>
      <c r="K41" s="50" t="n">
        <f>F41/$C$18*100</f>
        <v>20</v>
      </c>
      <c r="L41" s="22" t="n">
        <f>SUM(D$23*$G41,D$24*$H41,D$25*$I41,D$26*$J41,D$27*$K41)/100</f>
        <v>7.064887640449439</v>
      </c>
      <c r="M41" s="22" t="n">
        <f>SUM(E$23*$G41,E$24*$H41,E$25*$I41,E$26*$J41,E$27*$K41)/100</f>
        <v>4.2057408844065165</v>
      </c>
      <c r="N41" s="22" t="n">
        <f>SUM(F$23*$G41,F$24*$H41,F$25*$I41,F$26*$J41,F$27*$K41)/100</f>
        <v>4.255404071174155</v>
      </c>
      <c r="O41" s="51" t="str">
        <f>IF(COUNTIF(L41:N41,MAX(L41:N41))&gt;1,"Tie",INDEX($L$34:$N$34,1,MATCH(MAX(L41:N41),L41:N41,0)))</f>
        <v>ARUCO</v>
      </c>
    </row>
    <row r="42">
      <c r="A42" s="47" t="s">
        <v>55</v>
      </c>
      <c r="B42" s="48" t="n">
        <f>$C$13</f>
        <v>6</v>
      </c>
      <c r="C42" s="48" t="n">
        <f>$C$15</f>
        <v>7</v>
      </c>
      <c r="D42" s="48" t="n">
        <f>$C$14</f>
        <v>10</v>
      </c>
      <c r="E42" s="49" t="n">
        <f>$C$17</f>
        <v>8</v>
      </c>
      <c r="F42" s="49" t="n">
        <f>$C$16</f>
        <v>9</v>
      </c>
      <c r="G42" s="50" t="n">
        <f>B42/$C$18*100</f>
        <v>15</v>
      </c>
      <c r="H42" s="50" t="n">
        <f>C42/$C$18*100</f>
        <v>17.5</v>
      </c>
      <c r="I42" s="50" t="n">
        <f>D42/$C$18*100</f>
        <v>25</v>
      </c>
      <c r="J42" s="50" t="n">
        <f>E42/$C$18*100</f>
        <v>20</v>
      </c>
      <c r="K42" s="50" t="n">
        <f>F42/$C$18*100</f>
        <v>22.5</v>
      </c>
      <c r="L42" s="22" t="n">
        <f>SUM(D$23*$G42,D$24*$H42,D$25*$I42,D$26*$J42,D$27*$K42)/100</f>
        <v>7.1761235955056177</v>
      </c>
      <c r="M42" s="22" t="n">
        <f>SUM(E$23*$G42,E$24*$H42,E$25*$I42,E$26*$J42,E$27*$K42)/100</f>
        <v>3.9807408844065164</v>
      </c>
      <c r="N42" s="22" t="n">
        <f>SUM(F$23*$G42,F$24*$H42,F$25*$I42,F$26*$J42,F$27*$K42)/100</f>
        <v>4.4448684570406716</v>
      </c>
      <c r="O42" s="51" t="str">
        <f>IF(COUNTIF(L42:N42,MAX(L42:N42))&gt;1,"Tie",INDEX($L$34:$N$34,1,MATCH(MAX(L42:N42),L42:N42,0)))</f>
        <v>ARUCO</v>
      </c>
    </row>
    <row r="43">
      <c r="A43" s="47" t="s">
        <v>56</v>
      </c>
      <c r="B43" s="48" t="n">
        <f>$C$13</f>
        <v>6</v>
      </c>
      <c r="C43" s="48" t="n">
        <f>$C$15</f>
        <v>7</v>
      </c>
      <c r="D43" s="48" t="n">
        <f>$C$16</f>
        <v>9</v>
      </c>
      <c r="E43" s="49" t="n">
        <f>$C$14</f>
        <v>10</v>
      </c>
      <c r="F43" s="49" t="n">
        <f>$C$17</f>
        <v>8</v>
      </c>
      <c r="G43" s="50" t="n">
        <f>B43/$C$18*100</f>
        <v>15</v>
      </c>
      <c r="H43" s="50" t="n">
        <f>C43/$C$18*100</f>
        <v>17.5</v>
      </c>
      <c r="I43" s="50" t="n">
        <f>D43/$C$18*100</f>
        <v>22.5</v>
      </c>
      <c r="J43" s="50" t="n">
        <f>E43/$C$18*100</f>
        <v>25</v>
      </c>
      <c r="K43" s="50" t="n">
        <f>F43/$C$18*100</f>
        <v>20</v>
      </c>
      <c r="L43" s="22" t="n">
        <f>SUM(D$23*$G43,D$24*$H43,D$25*$I43,D$26*$J43,D$27*$K43)/100</f>
        <v>6.8398876404494384</v>
      </c>
      <c r="M43" s="22" t="n">
        <f>SUM(E$23*$G43,E$24*$H43,E$25*$I43,E$26*$J43,E$27*$K43)/100</f>
        <v>4.4307408844065161</v>
      </c>
      <c r="N43" s="22" t="n">
        <f>SUM(F$23*$G43,F$24*$H43,F$25*$I43,F$26*$J43,F$27*$K43)/100</f>
        <v>4.2334852270142536</v>
      </c>
      <c r="O43" s="51" t="str">
        <f>IF(COUNTIF(L43:N43,MAX(L43:N43))&gt;1,"Tie",INDEX($L$34:$N$34,1,MATCH(MAX(L43:N43),L43:N43,0)))</f>
        <v>ARUCO</v>
      </c>
    </row>
    <row r="44">
      <c r="A44" s="47" t="s">
        <v>57</v>
      </c>
      <c r="B44" s="48" t="n">
        <f>$C$13</f>
        <v>6</v>
      </c>
      <c r="C44" s="48" t="n">
        <f>$C$15</f>
        <v>7</v>
      </c>
      <c r="D44" s="48" t="n">
        <f>$C$16</f>
        <v>9</v>
      </c>
      <c r="E44" s="49" t="n">
        <f>$C$17</f>
        <v>8</v>
      </c>
      <c r="F44" s="49" t="n">
        <f>$C$14</f>
        <v>10</v>
      </c>
      <c r="G44" s="50" t="n">
        <f>B44/$C$18*100</f>
        <v>15</v>
      </c>
      <c r="H44" s="50" t="n">
        <f>C44/$C$18*100</f>
        <v>17.5</v>
      </c>
      <c r="I44" s="50" t="n">
        <f>D44/$C$18*100</f>
        <v>22.5</v>
      </c>
      <c r="J44" s="50" t="n">
        <f>E44/$C$18*100</f>
        <v>20</v>
      </c>
      <c r="K44" s="50" t="n">
        <f>F44/$C$18*100</f>
        <v>25</v>
      </c>
      <c r="L44" s="22" t="n">
        <f>SUM(D$23*$G44,D$24*$H44,D$25*$I44,D$26*$J44,D$27*$K44)/100</f>
        <v>7.0623595505617986</v>
      </c>
      <c r="M44" s="22" t="n">
        <f>SUM(E$23*$G44,E$24*$H44,E$25*$I44,E$26*$J44,E$27*$K44)/100</f>
        <v>3.9807408844065164</v>
      </c>
      <c r="N44" s="22" t="n">
        <f>SUM(F$23*$G44,F$24*$H44,F$25*$I44,F$26*$J44,F$27*$K44)/100</f>
        <v>4.6124139987472876</v>
      </c>
      <c r="O44" s="51" t="str">
        <f>IF(COUNTIF(L44:N44,MAX(L44:N44))&gt;1,"Tie",INDEX($L$34:$N$34,1,MATCH(MAX(L44:N44),L44:N44,0)))</f>
        <v>ARUCO</v>
      </c>
    </row>
    <row r="45">
      <c r="A45" s="47" t="s">
        <v>58</v>
      </c>
      <c r="B45" s="48" t="n">
        <f>$C$13</f>
        <v>6</v>
      </c>
      <c r="C45" s="48" t="n">
        <f>$C$15</f>
        <v>7</v>
      </c>
      <c r="D45" s="48" t="n">
        <f>$C$17</f>
        <v>8</v>
      </c>
      <c r="E45" s="49" t="n">
        <f>$C$14</f>
        <v>10</v>
      </c>
      <c r="F45" s="49" t="n">
        <f>$C$16</f>
        <v>9</v>
      </c>
      <c r="G45" s="50" t="n">
        <f>B45/$C$18*100</f>
        <v>15</v>
      </c>
      <c r="H45" s="50" t="n">
        <f>C45/$C$18*100</f>
        <v>17.5</v>
      </c>
      <c r="I45" s="50" t="n">
        <f>D45/$C$18*100</f>
        <v>20</v>
      </c>
      <c r="J45" s="50" t="n">
        <f>E45/$C$18*100</f>
        <v>25</v>
      </c>
      <c r="K45" s="50" t="n">
        <f>F45/$C$18*100</f>
        <v>22.5</v>
      </c>
      <c r="L45" s="22" t="n">
        <f>SUM(D$23*$G45,D$24*$H45,D$25*$I45,D$26*$J45,D$27*$K45)/100</f>
        <v>6.7261235955056176</v>
      </c>
      <c r="M45" s="22" t="n">
        <f>SUM(E$23*$G45,E$24*$H45,E$25*$I45,E$26*$J45,E$27*$K45)/100</f>
        <v>4.4307408844065161</v>
      </c>
      <c r="N45" s="22" t="n">
        <f>SUM(F$23*$G45,F$24*$H45,F$25*$I45,F$26*$J45,F$27*$K45)/100</f>
        <v>4.4010307687208696</v>
      </c>
      <c r="O45" s="51" t="str">
        <f>IF(COUNTIF(L45:N45,MAX(L45:N45))&gt;1,"Tie",INDEX($L$34:$N$34,1,MATCH(MAX(L45:N45),L45:N45,0)))</f>
        <v>ARUCO</v>
      </c>
    </row>
    <row r="46">
      <c r="A46" s="47" t="s">
        <v>59</v>
      </c>
      <c r="B46" s="48" t="n">
        <f>$C$13</f>
        <v>6</v>
      </c>
      <c r="C46" s="48" t="n">
        <f>$C$15</f>
        <v>7</v>
      </c>
      <c r="D46" s="48" t="n">
        <f>$C$17</f>
        <v>8</v>
      </c>
      <c r="E46" s="49" t="n">
        <f>$C$16</f>
        <v>9</v>
      </c>
      <c r="F46" s="49" t="n">
        <f>$C$14</f>
        <v>10</v>
      </c>
      <c r="G46" s="50" t="n">
        <f>B46/$C$18*100</f>
        <v>15</v>
      </c>
      <c r="H46" s="50" t="n">
        <f>C46/$C$18*100</f>
        <v>17.5</v>
      </c>
      <c r="I46" s="50" t="n">
        <f>D46/$C$18*100</f>
        <v>20</v>
      </c>
      <c r="J46" s="50" t="n">
        <f>E46/$C$18*100</f>
        <v>22.5</v>
      </c>
      <c r="K46" s="50" t="n">
        <f>F46/$C$18*100</f>
        <v>25</v>
      </c>
      <c r="L46" s="22" t="n">
        <f>SUM(D$23*$G46,D$24*$H46,D$25*$I46,D$26*$J46,D$27*$K46)/100</f>
        <v>6.8373595505617981</v>
      </c>
      <c r="M46" s="22" t="n">
        <f>SUM(E$23*$G46,E$24*$H46,E$25*$I46,E$26*$J46,E$27*$K46)/100</f>
        <v>4.2057408844065165</v>
      </c>
      <c r="N46" s="22" t="n">
        <f>SUM(F$23*$G46,F$24*$H46,F$25*$I46,F$26*$J46,F$27*$K46)/100</f>
        <v>4.5904951545873853</v>
      </c>
      <c r="O46" s="51" t="str">
        <f>IF(COUNTIF(L46:N46,MAX(L46:N46))&gt;1,"Tie",INDEX($L$34:$N$34,1,MATCH(MAX(L46:N46),L46:N46,0)))</f>
        <v>ARUCO</v>
      </c>
    </row>
    <row r="47">
      <c r="A47" s="47" t="s">
        <v>60</v>
      </c>
      <c r="B47" s="48" t="n">
        <f>$C$13</f>
        <v>6</v>
      </c>
      <c r="C47" s="48" t="n">
        <f>$C$16</f>
        <v>9</v>
      </c>
      <c r="D47" s="48" t="n">
        <f>$C$14</f>
        <v>10</v>
      </c>
      <c r="E47" s="49" t="n">
        <f>$C$15</f>
        <v>7</v>
      </c>
      <c r="F47" s="49" t="n">
        <f>$C$17</f>
        <v>8</v>
      </c>
      <c r="G47" s="50" t="n">
        <f>B47/$C$18*100</f>
        <v>15</v>
      </c>
      <c r="H47" s="50" t="n">
        <f>C47/$C$18*100</f>
        <v>22.5</v>
      </c>
      <c r="I47" s="50" t="n">
        <f>D47/$C$18*100</f>
        <v>25</v>
      </c>
      <c r="J47" s="50" t="n">
        <f>E47/$C$18*100</f>
        <v>17.5</v>
      </c>
      <c r="K47" s="50" t="n">
        <f>F47/$C$18*100</f>
        <v>20</v>
      </c>
      <c r="L47" s="22" t="n">
        <f>SUM(D$23*$G47,D$24*$H47,D$25*$I47,D$26*$J47,D$27*$K47)/100</f>
        <v>7.5148876404494391</v>
      </c>
      <c r="M47" s="22" t="n">
        <f>SUM(E$23*$G47,E$24*$H47,E$25*$I47,E$26*$J47,E$27*$K47)/100</f>
        <v>4.0930954228083776</v>
      </c>
      <c r="N47" s="22" t="n">
        <f>SUM(F$23*$G47,F$24*$H47,F$25*$I47,F$26*$J47,F$27*$K47)/100</f>
        <v>4.1843328429071889</v>
      </c>
      <c r="O47" s="51" t="str">
        <f>IF(COUNTIF(L47:N47,MAX(L47:N47))&gt;1,"Tie",INDEX($L$34:$N$34,1,MATCH(MAX(L47:N47),L47:N47,0)))</f>
        <v>ARUCO</v>
      </c>
    </row>
    <row r="48">
      <c r="A48" s="47" t="s">
        <v>61</v>
      </c>
      <c r="B48" s="48" t="n">
        <f>$C$13</f>
        <v>6</v>
      </c>
      <c r="C48" s="48" t="n">
        <f>$C$16</f>
        <v>9</v>
      </c>
      <c r="D48" s="48" t="n">
        <f>$C$14</f>
        <v>10</v>
      </c>
      <c r="E48" s="49" t="n">
        <f>$C$17</f>
        <v>8</v>
      </c>
      <c r="F48" s="49" t="n">
        <f>$C$15</f>
        <v>7</v>
      </c>
      <c r="G48" s="50" t="n">
        <f>B48/$C$18*100</f>
        <v>15</v>
      </c>
      <c r="H48" s="50" t="n">
        <f>C48/$C$18*100</f>
        <v>22.5</v>
      </c>
      <c r="I48" s="50" t="n">
        <f>D48/$C$18*100</f>
        <v>25</v>
      </c>
      <c r="J48" s="50" t="n">
        <f>E48/$C$18*100</f>
        <v>20</v>
      </c>
      <c r="K48" s="50" t="n">
        <f>F48/$C$18*100</f>
        <v>17.5</v>
      </c>
      <c r="L48" s="22" t="n">
        <f>SUM(D$23*$G48,D$24*$H48,D$25*$I48,D$26*$J48,D$27*$K48)/100</f>
        <v>7.4036516853932586</v>
      </c>
      <c r="M48" s="22" t="n">
        <f>SUM(E$23*$G48,E$24*$H48,E$25*$I48,E$26*$J48,E$27*$K48)/100</f>
        <v>4.3180954228083781</v>
      </c>
      <c r="N48" s="22" t="n">
        <f>SUM(F$23*$G48,F$24*$H48,F$25*$I48,F$26*$J48,F$27*$K48)/100</f>
        <v>3.9948684570406718</v>
      </c>
      <c r="O48" s="51" t="str">
        <f>IF(COUNTIF(L48:N48,MAX(L48:N48))&gt;1,"Tie",INDEX($L$34:$N$34,1,MATCH(MAX(L48:N48),L48:N48,0)))</f>
        <v>ARUCO</v>
      </c>
    </row>
    <row r="49">
      <c r="A49" s="47" t="s">
        <v>62</v>
      </c>
      <c r="B49" s="48" t="n">
        <f>$C$13</f>
        <v>6</v>
      </c>
      <c r="C49" s="48" t="n">
        <f>$C$16</f>
        <v>9</v>
      </c>
      <c r="D49" s="48" t="n">
        <f>$C$15</f>
        <v>7</v>
      </c>
      <c r="E49" s="49" t="n">
        <f>$C$14</f>
        <v>10</v>
      </c>
      <c r="F49" s="49" t="n">
        <f>$C$17</f>
        <v>8</v>
      </c>
      <c r="G49" s="50" t="n">
        <f>B49/$C$18*100</f>
        <v>15</v>
      </c>
      <c r="H49" s="50" t="n">
        <f>C49/$C$18*100</f>
        <v>22.5</v>
      </c>
      <c r="I49" s="50" t="n">
        <f>D49/$C$18*100</f>
        <v>17.5</v>
      </c>
      <c r="J49" s="50" t="n">
        <f>E49/$C$18*100</f>
        <v>25</v>
      </c>
      <c r="K49" s="50" t="n">
        <f>F49/$C$18*100</f>
        <v>20</v>
      </c>
      <c r="L49" s="22" t="n">
        <f>SUM(D$23*$G49,D$24*$H49,D$25*$I49,D$26*$J49,D$27*$K49)/100</f>
        <v>6.8398876404494384</v>
      </c>
      <c r="M49" s="22" t="n">
        <f>SUM(E$23*$G49,E$24*$H49,E$25*$I49,E$26*$J49,E$27*$K49)/100</f>
        <v>4.7680954228083774</v>
      </c>
      <c r="N49" s="22" t="n">
        <f>SUM(F$23*$G49,F$24*$H49,F$25*$I49,F$26*$J49,F$27*$K49)/100</f>
        <v>4.1185763104274846</v>
      </c>
      <c r="O49" s="51" t="str">
        <f>IF(COUNTIF(L49:N49,MAX(L49:N49))&gt;1,"Tie",INDEX($L$34:$N$34,1,MATCH(MAX(L49:N49),L49:N49,0)))</f>
        <v>ARUCO</v>
      </c>
    </row>
    <row r="50">
      <c r="A50" s="47" t="s">
        <v>63</v>
      </c>
      <c r="B50" s="48" t="n">
        <f>$C$13</f>
        <v>6</v>
      </c>
      <c r="C50" s="48" t="n">
        <f>$C$16</f>
        <v>9</v>
      </c>
      <c r="D50" s="48" t="n">
        <f>$C$15</f>
        <v>7</v>
      </c>
      <c r="E50" s="49" t="n">
        <f>$C$17</f>
        <v>8</v>
      </c>
      <c r="F50" s="49" t="n">
        <f>$C$14</f>
        <v>10</v>
      </c>
      <c r="G50" s="50" t="n">
        <f>B50/$C$18*100</f>
        <v>15</v>
      </c>
      <c r="H50" s="50" t="n">
        <f>C50/$C$18*100</f>
        <v>22.5</v>
      </c>
      <c r="I50" s="50" t="n">
        <f>D50/$C$18*100</f>
        <v>17.5</v>
      </c>
      <c r="J50" s="50" t="n">
        <f>E50/$C$18*100</f>
        <v>20</v>
      </c>
      <c r="K50" s="50" t="n">
        <f>F50/$C$18*100</f>
        <v>25</v>
      </c>
      <c r="L50" s="22" t="n">
        <f>SUM(D$23*$G50,D$24*$H50,D$25*$I50,D$26*$J50,D$27*$K50)/100</f>
        <v>7.0623595505617986</v>
      </c>
      <c r="M50" s="22" t="n">
        <f>SUM(E$23*$G50,E$24*$H50,E$25*$I50,E$26*$J50,E$27*$K50)/100</f>
        <v>4.3180954228083781</v>
      </c>
      <c r="N50" s="22" t="n">
        <f>SUM(F$23*$G50,F$24*$H50,F$25*$I50,F$26*$J50,F$27*$K50)/100</f>
        <v>4.4975050821605178</v>
      </c>
      <c r="O50" s="51" t="str">
        <f>IF(COUNTIF(L50:N50,MAX(L50:N50))&gt;1,"Tie",INDEX($L$34:$N$34,1,MATCH(MAX(L50:N50),L50:N50,0)))</f>
        <v>ARUCO</v>
      </c>
    </row>
    <row r="51">
      <c r="A51" s="47" t="s">
        <v>64</v>
      </c>
      <c r="B51" s="48" t="n">
        <f>$C$13</f>
        <v>6</v>
      </c>
      <c r="C51" s="48" t="n">
        <f>$C$16</f>
        <v>9</v>
      </c>
      <c r="D51" s="48" t="n">
        <f>$C$17</f>
        <v>8</v>
      </c>
      <c r="E51" s="49" t="n">
        <f>$C$14</f>
        <v>10</v>
      </c>
      <c r="F51" s="49" t="n">
        <f>$C$15</f>
        <v>7</v>
      </c>
      <c r="G51" s="50" t="n">
        <f>B51/$C$18*100</f>
        <v>15</v>
      </c>
      <c r="H51" s="50" t="n">
        <f>C51/$C$18*100</f>
        <v>22.5</v>
      </c>
      <c r="I51" s="50" t="n">
        <f>D51/$C$18*100</f>
        <v>20</v>
      </c>
      <c r="J51" s="50" t="n">
        <f>E51/$C$18*100</f>
        <v>25</v>
      </c>
      <c r="K51" s="50" t="n">
        <f>F51/$C$18*100</f>
        <v>17.5</v>
      </c>
      <c r="L51" s="22" t="n">
        <f>SUM(D$23*$G51,D$24*$H51,D$25*$I51,D$26*$J51,D$27*$K51)/100</f>
        <v>6.9536516853932584</v>
      </c>
      <c r="M51" s="22" t="n">
        <f>SUM(E$23*$G51,E$24*$H51,E$25*$I51,E$26*$J51,E$27*$K51)/100</f>
        <v>4.7680954228083774</v>
      </c>
      <c r="N51" s="22" t="n">
        <f>SUM(F$23*$G51,F$24*$H51,F$25*$I51,F$26*$J51,F$27*$K51)/100</f>
        <v>3.9510307687208694</v>
      </c>
      <c r="O51" s="51" t="str">
        <f>IF(COUNTIF(L51:N51,MAX(L51:N51))&gt;1,"Tie",INDEX($L$34:$N$34,1,MATCH(MAX(L51:N51),L51:N51,0)))</f>
        <v>ARUCO</v>
      </c>
    </row>
    <row r="52">
      <c r="A52" s="47" t="s">
        <v>65</v>
      </c>
      <c r="B52" s="48" t="n">
        <f>$C$13</f>
        <v>6</v>
      </c>
      <c r="C52" s="48" t="n">
        <f>$C$16</f>
        <v>9</v>
      </c>
      <c r="D52" s="48" t="n">
        <f>$C$17</f>
        <v>8</v>
      </c>
      <c r="E52" s="49" t="n">
        <f>$C$15</f>
        <v>7</v>
      </c>
      <c r="F52" s="49" t="n">
        <f>$C$14</f>
        <v>10</v>
      </c>
      <c r="G52" s="50" t="n">
        <f>B52/$C$18*100</f>
        <v>15</v>
      </c>
      <c r="H52" s="50" t="n">
        <f>C52/$C$18*100</f>
        <v>22.5</v>
      </c>
      <c r="I52" s="50" t="n">
        <f>D52/$C$18*100</f>
        <v>20</v>
      </c>
      <c r="J52" s="50" t="n">
        <f>E52/$C$18*100</f>
        <v>17.5</v>
      </c>
      <c r="K52" s="50" t="n">
        <f>F52/$C$18*100</f>
        <v>25</v>
      </c>
      <c r="L52" s="22" t="n">
        <f>SUM(D$23*$G52,D$24*$H52,D$25*$I52,D$26*$J52,D$27*$K52)/100</f>
        <v>7.2873595505617983</v>
      </c>
      <c r="M52" s="22" t="n">
        <f>SUM(E$23*$G52,E$24*$H52,E$25*$I52,E$26*$J52,E$27*$K52)/100</f>
        <v>4.0930954228083776</v>
      </c>
      <c r="N52" s="22" t="n">
        <f>SUM(F$23*$G52,F$24*$H52,F$25*$I52,F$26*$J52,F$27*$K52)/100</f>
        <v>4.5194239263204192</v>
      </c>
      <c r="O52" s="51" t="str">
        <f>IF(COUNTIF(L52:N52,MAX(L52:N52))&gt;1,"Tie",INDEX($L$34:$N$34,1,MATCH(MAX(L52:N52),L52:N52,0)))</f>
        <v>ARUCO</v>
      </c>
    </row>
    <row r="53">
      <c r="A53" s="47" t="s">
        <v>66</v>
      </c>
      <c r="B53" s="48" t="n">
        <f>$C$13</f>
        <v>6</v>
      </c>
      <c r="C53" s="48" t="n">
        <f>$C$17</f>
        <v>8</v>
      </c>
      <c r="D53" s="48" t="n">
        <f>$C$14</f>
        <v>10</v>
      </c>
      <c r="E53" s="49" t="n">
        <f>$C$15</f>
        <v>7</v>
      </c>
      <c r="F53" s="49" t="n">
        <f>$C$16</f>
        <v>9</v>
      </c>
      <c r="G53" s="50" t="n">
        <f>B53/$C$18*100</f>
        <v>15</v>
      </c>
      <c r="H53" s="50" t="n">
        <f>C53/$C$18*100</f>
        <v>20</v>
      </c>
      <c r="I53" s="50" t="n">
        <f>D53/$C$18*100</f>
        <v>25</v>
      </c>
      <c r="J53" s="50" t="n">
        <f>E53/$C$18*100</f>
        <v>17.5</v>
      </c>
      <c r="K53" s="50" t="n">
        <f>F53/$C$18*100</f>
        <v>22.5</v>
      </c>
      <c r="L53" s="22" t="n">
        <f>SUM(D$23*$G53,D$24*$H53,D$25*$I53,D$26*$J53,D$27*$K53)/100</f>
        <v>7.4011235955056183</v>
      </c>
      <c r="M53" s="22" t="n">
        <f>SUM(E$23*$G53,E$24*$H53,E$25*$I53,E$26*$J53,E$27*$K53)/100</f>
        <v>3.9244181536074469</v>
      </c>
      <c r="N53" s="22" t="n">
        <f>SUM(F$23*$G53,F$24*$H53,F$25*$I53,F$26*$J53,F$27*$K53)/100</f>
        <v>4.4093328429071885</v>
      </c>
      <c r="O53" s="51" t="str">
        <f>IF(COUNTIF(L53:N53,MAX(L53:N53))&gt;1,"Tie",INDEX($L$34:$N$34,1,MATCH(MAX(L53:N53),L53:N53,0)))</f>
        <v>ARUCO</v>
      </c>
    </row>
    <row r="54">
      <c r="A54" s="47" t="s">
        <v>67</v>
      </c>
      <c r="B54" s="48" t="n">
        <f>$C$13</f>
        <v>6</v>
      </c>
      <c r="C54" s="48" t="n">
        <f>$C$17</f>
        <v>8</v>
      </c>
      <c r="D54" s="48" t="n">
        <f>$C$14</f>
        <v>10</v>
      </c>
      <c r="E54" s="49" t="n">
        <f>$C$16</f>
        <v>9</v>
      </c>
      <c r="F54" s="49" t="n">
        <f>$C$15</f>
        <v>7</v>
      </c>
      <c r="G54" s="50" t="n">
        <f>B54/$C$18*100</f>
        <v>15</v>
      </c>
      <c r="H54" s="50" t="n">
        <f>C54/$C$18*100</f>
        <v>20</v>
      </c>
      <c r="I54" s="50" t="n">
        <f>D54/$C$18*100</f>
        <v>25</v>
      </c>
      <c r="J54" s="50" t="n">
        <f>E54/$C$18*100</f>
        <v>22.5</v>
      </c>
      <c r="K54" s="50" t="n">
        <f>F54/$C$18*100</f>
        <v>17.5</v>
      </c>
      <c r="L54" s="22" t="n">
        <f>SUM(D$23*$G54,D$24*$H54,D$25*$I54,D$26*$J54,D$27*$K54)/100</f>
        <v>7.178651685393258</v>
      </c>
      <c r="M54" s="22" t="n">
        <f>SUM(E$23*$G54,E$24*$H54,E$25*$I54,E$26*$J54,E$27*$K54)/100</f>
        <v>4.3744181536074471</v>
      </c>
      <c r="N54" s="22" t="n">
        <f>SUM(F$23*$G54,F$24*$H54,F$25*$I54,F$26*$J54,F$27*$K54)/100</f>
        <v>4.0304040711741553</v>
      </c>
      <c r="O54" s="51" t="str">
        <f>IF(COUNTIF(L54:N54,MAX(L54:N54))&gt;1,"Tie",INDEX($L$34:$N$34,1,MATCH(MAX(L54:N54),L54:N54,0)))</f>
        <v>ARUCO</v>
      </c>
    </row>
    <row r="55">
      <c r="A55" s="47" t="s">
        <v>68</v>
      </c>
      <c r="B55" s="48" t="n">
        <f>$C$13</f>
        <v>6</v>
      </c>
      <c r="C55" s="48" t="n">
        <f>$C$17</f>
        <v>8</v>
      </c>
      <c r="D55" s="48" t="n">
        <f>$C$15</f>
        <v>7</v>
      </c>
      <c r="E55" s="49" t="n">
        <f>$C$14</f>
        <v>10</v>
      </c>
      <c r="F55" s="49" t="n">
        <f>$C$16</f>
        <v>9</v>
      </c>
      <c r="G55" s="50" t="n">
        <f>B55/$C$18*100</f>
        <v>15</v>
      </c>
      <c r="H55" s="50" t="n">
        <f>C55/$C$18*100</f>
        <v>20</v>
      </c>
      <c r="I55" s="50" t="n">
        <f>D55/$C$18*100</f>
        <v>17.5</v>
      </c>
      <c r="J55" s="50" t="n">
        <f>E55/$C$18*100</f>
        <v>25</v>
      </c>
      <c r="K55" s="50" t="n">
        <f>F55/$C$18*100</f>
        <v>22.5</v>
      </c>
      <c r="L55" s="22" t="n">
        <f>SUM(D$23*$G55,D$24*$H55,D$25*$I55,D$26*$J55,D$27*$K55)/100</f>
        <v>6.7261235955056176</v>
      </c>
      <c r="M55" s="22" t="n">
        <f>SUM(E$23*$G55,E$24*$H55,E$25*$I55,E$26*$J55,E$27*$K55)/100</f>
        <v>4.5994181536074468</v>
      </c>
      <c r="N55" s="22" t="n">
        <f>SUM(F$23*$G55,F$24*$H55,F$25*$I55,F$26*$J55,F$27*$K55)/100</f>
        <v>4.3435763104274852</v>
      </c>
      <c r="O55" s="51" t="str">
        <f>IF(COUNTIF(L55:N55,MAX(L55:N55))&gt;1,"Tie",INDEX($L$34:$N$34,1,MATCH(MAX(L55:N55),L55:N55,0)))</f>
        <v>ARUCO</v>
      </c>
    </row>
    <row r="56">
      <c r="A56" s="47" t="s">
        <v>69</v>
      </c>
      <c r="B56" s="48" t="n">
        <f>$C$13</f>
        <v>6</v>
      </c>
      <c r="C56" s="48" t="n">
        <f>$C$17</f>
        <v>8</v>
      </c>
      <c r="D56" s="48" t="n">
        <f>$C$15</f>
        <v>7</v>
      </c>
      <c r="E56" s="49" t="n">
        <f>$C$16</f>
        <v>9</v>
      </c>
      <c r="F56" s="49" t="n">
        <f>$C$14</f>
        <v>10</v>
      </c>
      <c r="G56" s="50" t="n">
        <f>B56/$C$18*100</f>
        <v>15</v>
      </c>
      <c r="H56" s="50" t="n">
        <f>C56/$C$18*100</f>
        <v>20</v>
      </c>
      <c r="I56" s="50" t="n">
        <f>D56/$C$18*100</f>
        <v>17.5</v>
      </c>
      <c r="J56" s="50" t="n">
        <f>E56/$C$18*100</f>
        <v>22.5</v>
      </c>
      <c r="K56" s="50" t="n">
        <f>F56/$C$18*100</f>
        <v>25</v>
      </c>
      <c r="L56" s="22" t="n">
        <f>SUM(D$23*$G56,D$24*$H56,D$25*$I56,D$26*$J56,D$27*$K56)/100</f>
        <v>6.8373595505617981</v>
      </c>
      <c r="M56" s="22" t="n">
        <f>SUM(E$23*$G56,E$24*$H56,E$25*$I56,E$26*$J56,E$27*$K56)/100</f>
        <v>4.3744181536074471</v>
      </c>
      <c r="N56" s="22" t="n">
        <f>SUM(F$23*$G56,F$24*$H56,F$25*$I56,F$26*$J56,F$27*$K56)/100</f>
        <v>4.5330406962940017</v>
      </c>
      <c r="O56" s="51" t="str">
        <f>IF(COUNTIF(L56:N56,MAX(L56:N56))&gt;1,"Tie",INDEX($L$34:$N$34,1,MATCH(MAX(L56:N56),L56:N56,0)))</f>
        <v>ARUCO</v>
      </c>
    </row>
    <row r="57">
      <c r="A57" s="47" t="s">
        <v>70</v>
      </c>
      <c r="B57" s="48" t="n">
        <f>$C$13</f>
        <v>6</v>
      </c>
      <c r="C57" s="48" t="n">
        <f>$C$17</f>
        <v>8</v>
      </c>
      <c r="D57" s="48" t="n">
        <f>$C$16</f>
        <v>9</v>
      </c>
      <c r="E57" s="49" t="n">
        <f>$C$14</f>
        <v>10</v>
      </c>
      <c r="F57" s="49" t="n">
        <f>$C$15</f>
        <v>7</v>
      </c>
      <c r="G57" s="50" t="n">
        <f>B57/$C$18*100</f>
        <v>15</v>
      </c>
      <c r="H57" s="50" t="n">
        <f>C57/$C$18*100</f>
        <v>20</v>
      </c>
      <c r="I57" s="50" t="n">
        <f>D57/$C$18*100</f>
        <v>22.5</v>
      </c>
      <c r="J57" s="50" t="n">
        <f>E57/$C$18*100</f>
        <v>25</v>
      </c>
      <c r="K57" s="50" t="n">
        <f>F57/$C$18*100</f>
        <v>17.5</v>
      </c>
      <c r="L57" s="22" t="n">
        <f>SUM(D$23*$G57,D$24*$H57,D$25*$I57,D$26*$J57,D$27*$K57)/100</f>
        <v>6.9536516853932584</v>
      </c>
      <c r="M57" s="22" t="n">
        <f>SUM(E$23*$G57,E$24*$H57,E$25*$I57,E$26*$J57,E$27*$K57)/100</f>
        <v>4.5994181536074468</v>
      </c>
      <c r="N57" s="22" t="n">
        <f>SUM(F$23*$G57,F$24*$H57,F$25*$I57,F$26*$J57,F$27*$K57)/100</f>
        <v>4.008485227014253</v>
      </c>
      <c r="O57" s="51" t="str">
        <f>IF(COUNTIF(L57:N57,MAX(L57:N57))&gt;1,"Tie",INDEX($L$34:$N$34,1,MATCH(MAX(L57:N57),L57:N57,0)))</f>
        <v>ARUCO</v>
      </c>
    </row>
    <row r="58">
      <c r="A58" s="47" t="s">
        <v>71</v>
      </c>
      <c r="B58" s="48" t="n">
        <f>$C$13</f>
        <v>6</v>
      </c>
      <c r="C58" s="48" t="n">
        <f>$C$17</f>
        <v>8</v>
      </c>
      <c r="D58" s="48" t="n">
        <f>$C$16</f>
        <v>9</v>
      </c>
      <c r="E58" s="49" t="n">
        <f>$C$15</f>
        <v>7</v>
      </c>
      <c r="F58" s="49" t="n">
        <f>$C$14</f>
        <v>10</v>
      </c>
      <c r="G58" s="50" t="n">
        <f>B58/$C$18*100</f>
        <v>15</v>
      </c>
      <c r="H58" s="50" t="n">
        <f>C58/$C$18*100</f>
        <v>20</v>
      </c>
      <c r="I58" s="50" t="n">
        <f>D58/$C$18*100</f>
        <v>22.5</v>
      </c>
      <c r="J58" s="50" t="n">
        <f>E58/$C$18*100</f>
        <v>17.5</v>
      </c>
      <c r="K58" s="50" t="n">
        <f>F58/$C$18*100</f>
        <v>25</v>
      </c>
      <c r="L58" s="22" t="n">
        <f>SUM(D$23*$G58,D$24*$H58,D$25*$I58,D$26*$J58,D$27*$K58)/100</f>
        <v>7.2873595505617983</v>
      </c>
      <c r="M58" s="22" t="n">
        <f>SUM(E$23*$G58,E$24*$H58,E$25*$I58,E$26*$J58,E$27*$K58)/100</f>
        <v>3.9244181536074469</v>
      </c>
      <c r="N58" s="22" t="n">
        <f>SUM(F$23*$G58,F$24*$H58,F$25*$I58,F$26*$J58,F$27*$K58)/100</f>
        <v>4.5768783846138046</v>
      </c>
      <c r="O58" s="51" t="str">
        <f>IF(COUNTIF(L58:N58,MAX(L58:N58))&gt;1,"Tie",INDEX($L$34:$N$34,1,MATCH(MAX(L58:N58),L58:N58,0)))</f>
        <v>ARUCO</v>
      </c>
    </row>
    <row r="59">
      <c r="A59" s="47" t="s">
        <v>72</v>
      </c>
      <c r="B59" s="48" t="n">
        <f>$C$14</f>
        <v>10</v>
      </c>
      <c r="C59" s="48" t="n">
        <f>$C$13</f>
        <v>6</v>
      </c>
      <c r="D59" s="48" t="n">
        <f>$C$15</f>
        <v>7</v>
      </c>
      <c r="E59" s="49" t="n">
        <f>$C$16</f>
        <v>9</v>
      </c>
      <c r="F59" s="49" t="n">
        <f>$C$17</f>
        <v>8</v>
      </c>
      <c r="G59" s="50" t="n">
        <f>B59/$C$18*100</f>
        <v>25</v>
      </c>
      <c r="H59" s="50" t="n">
        <f>C59/$C$18*100</f>
        <v>15</v>
      </c>
      <c r="I59" s="50" t="n">
        <f>D59/$C$18*100</f>
        <v>17.5</v>
      </c>
      <c r="J59" s="50" t="n">
        <f>E59/$C$18*100</f>
        <v>22.5</v>
      </c>
      <c r="K59" s="50" t="n">
        <f>F59/$C$18*100</f>
        <v>20</v>
      </c>
      <c r="L59" s="22" t="n">
        <f>SUM(D$23*$G59,D$24*$H59,D$25*$I59,D$26*$J59,D$27*$K59)/100</f>
        <v>7.064887640449439</v>
      </c>
      <c r="M59" s="22" t="n">
        <f>SUM(E$23*$G59,E$24*$H59,E$25*$I59,E$26*$J59,E$27*$K59)/100</f>
        <v>4.037063615205585</v>
      </c>
      <c r="N59" s="22" t="n">
        <f>SUM(F$23*$G59,F$24*$H59,F$25*$I59,F$26*$J59,F$27*$K59)/100</f>
        <v>4.4570666703199757</v>
      </c>
      <c r="O59" s="51" t="str">
        <f>IF(COUNTIF(L59:N59,MAX(L59:N59))&gt;1,"Tie",INDEX($L$34:$N$34,1,MATCH(MAX(L59:N59),L59:N59,0)))</f>
        <v>ARUCO</v>
      </c>
    </row>
    <row r="60">
      <c r="A60" s="47" t="s">
        <v>73</v>
      </c>
      <c r="B60" s="53" t="n">
        <f>$C$14</f>
        <v>10</v>
      </c>
      <c r="C60" s="53" t="n">
        <f>$C$13</f>
        <v>6</v>
      </c>
      <c r="D60" s="53" t="n">
        <f>$C$15</f>
        <v>7</v>
      </c>
      <c r="E60" s="53" t="n">
        <f>$C$17</f>
        <v>8</v>
      </c>
      <c r="F60" s="53" t="n">
        <f>$C$16</f>
        <v>9</v>
      </c>
      <c r="G60" s="23" t="n">
        <f>B60/$C$18*100</f>
        <v>25</v>
      </c>
      <c r="H60" s="50" t="n">
        <f>C60/$C$18*100</f>
        <v>15</v>
      </c>
      <c r="I60" s="50" t="n">
        <f>D60/$C$18*100</f>
        <v>17.5</v>
      </c>
      <c r="J60" s="50" t="n">
        <f>E60/$C$18*100</f>
        <v>20</v>
      </c>
      <c r="K60" s="50" t="n">
        <f>F60/$C$18*100</f>
        <v>22.5</v>
      </c>
      <c r="L60" s="22" t="n">
        <f>SUM(D$23*$G60,D$24*$H60,D$25*$I60,D$26*$J60,D$27*$K60)/100</f>
        <v>7.1761235955056177</v>
      </c>
      <c r="M60" s="22" t="n">
        <f>SUM(E$23*$G60,E$24*$H60,E$25*$I60,E$26*$J60,E$27*$K60)/100</f>
        <v>3.8120636152055853</v>
      </c>
      <c r="N60" s="22" t="n">
        <f>SUM(F$23*$G60,F$24*$H60,F$25*$I60,F$26*$J60,F$27*$K60)/100</f>
        <v>4.6465310561864923</v>
      </c>
      <c r="O60" s="51" t="str">
        <f>IF(COUNTIF(L60:N60,MAX(L60:N60))&gt;1,"Tie",INDEX($L$34:$N$34,1,MATCH(MAX(L60:N60),L60:N60,0)))</f>
        <v>ARUCO</v>
      </c>
    </row>
    <row r="61">
      <c r="A61" s="47" t="s">
        <v>74</v>
      </c>
      <c r="B61" s="53" t="n">
        <f>$C$14</f>
        <v>10</v>
      </c>
      <c r="C61" s="53" t="n">
        <f>$C$13</f>
        <v>6</v>
      </c>
      <c r="D61" s="53" t="n">
        <f>$C$16</f>
        <v>9</v>
      </c>
      <c r="E61" s="53" t="n">
        <f>$C$15</f>
        <v>7</v>
      </c>
      <c r="F61" s="53" t="n">
        <f>$C$17</f>
        <v>8</v>
      </c>
      <c r="G61" s="23" t="n">
        <f>B61/$C$18*100</f>
        <v>25</v>
      </c>
      <c r="H61" s="50" t="n">
        <f>C61/$C$18*100</f>
        <v>15</v>
      </c>
      <c r="I61" s="50" t="n">
        <f>D61/$C$18*100</f>
        <v>22.5</v>
      </c>
      <c r="J61" s="50" t="n">
        <f>E61/$C$18*100</f>
        <v>17.5</v>
      </c>
      <c r="K61" s="50" t="n">
        <f>F61/$C$18*100</f>
        <v>20</v>
      </c>
      <c r="L61" s="22" t="n">
        <f>SUM(D$23*$G61,D$24*$H61,D$25*$I61,D$26*$J61,D$27*$K61)/100</f>
        <v>7.5148876404494391</v>
      </c>
      <c r="M61" s="22" t="n">
        <f>SUM(E$23*$G61,E$24*$H61,E$25*$I61,E$26*$J61,E$27*$K61)/100</f>
        <v>3.5870636152055853</v>
      </c>
      <c r="N61" s="22" t="n">
        <f>SUM(F$23*$G61,F$24*$H61,F$25*$I61,F$26*$J61,F$27*$K61)/100</f>
        <v>4.5009043586397777</v>
      </c>
      <c r="O61" s="51" t="str">
        <f>IF(COUNTIF(L61:N61,MAX(L61:N61))&gt;1,"Tie",INDEX($L$34:$N$34,1,MATCH(MAX(L61:N61),L61:N61,0)))</f>
        <v>ARUCO</v>
      </c>
    </row>
    <row r="62">
      <c r="A62" s="47" t="s">
        <v>75</v>
      </c>
      <c r="B62" s="53" t="n">
        <f>$C$14</f>
        <v>10</v>
      </c>
      <c r="C62" s="53" t="n">
        <f>$C$13</f>
        <v>6</v>
      </c>
      <c r="D62" s="53" t="n">
        <f>$C$16</f>
        <v>9</v>
      </c>
      <c r="E62" s="53" t="n">
        <f>$C$17</f>
        <v>8</v>
      </c>
      <c r="F62" s="53" t="n">
        <f>$C$15</f>
        <v>7</v>
      </c>
      <c r="G62" s="23" t="n">
        <f>B62/$C$18*100</f>
        <v>25</v>
      </c>
      <c r="H62" s="50" t="n">
        <f>C62/$C$18*100</f>
        <v>15</v>
      </c>
      <c r="I62" s="50" t="n">
        <f>D62/$C$18*100</f>
        <v>22.5</v>
      </c>
      <c r="J62" s="50" t="n">
        <f>E62/$C$18*100</f>
        <v>20</v>
      </c>
      <c r="K62" s="50" t="n">
        <f>F62/$C$18*100</f>
        <v>17.5</v>
      </c>
      <c r="L62" s="22" t="n">
        <f>SUM(D$23*$G62,D$24*$H62,D$25*$I62,D$26*$J62,D$27*$K62)/100</f>
        <v>7.4036516853932586</v>
      </c>
      <c r="M62" s="22" t="n">
        <f>SUM(E$23*$G62,E$24*$H62,E$25*$I62,E$26*$J62,E$27*$K62)/100</f>
        <v>3.8120636152055853</v>
      </c>
      <c r="N62" s="22" t="n">
        <f>SUM(F$23*$G62,F$24*$H62,F$25*$I62,F$26*$J62,F$27*$K62)/100</f>
        <v>4.3114399727732611</v>
      </c>
      <c r="O62" s="51" t="str">
        <f>IF(COUNTIF(L62:N62,MAX(L62:N62))&gt;1,"Tie",INDEX($L$34:$N$34,1,MATCH(MAX(L62:N62),L62:N62,0)))</f>
        <v>ARUCO</v>
      </c>
    </row>
    <row r="63">
      <c r="A63" s="47" t="s">
        <v>76</v>
      </c>
      <c r="B63" s="53" t="n">
        <f>$C$14</f>
        <v>10</v>
      </c>
      <c r="C63" s="53" t="n">
        <f>$C$13</f>
        <v>6</v>
      </c>
      <c r="D63" s="53" t="n">
        <f>$C$17</f>
        <v>8</v>
      </c>
      <c r="E63" s="53" t="n">
        <f>$C$15</f>
        <v>7</v>
      </c>
      <c r="F63" s="53" t="n">
        <f>$C$16</f>
        <v>9</v>
      </c>
      <c r="G63" s="23" t="n">
        <f>B63/$C$18*100</f>
        <v>25</v>
      </c>
      <c r="H63" s="50" t="n">
        <f>C63/$C$18*100</f>
        <v>15</v>
      </c>
      <c r="I63" s="50" t="n">
        <f>D63/$C$18*100</f>
        <v>20</v>
      </c>
      <c r="J63" s="50" t="n">
        <f>E63/$C$18*100</f>
        <v>17.5</v>
      </c>
      <c r="K63" s="50" t="n">
        <f>F63/$C$18*100</f>
        <v>22.5</v>
      </c>
      <c r="L63" s="22" t="n">
        <f>SUM(D$23*$G63,D$24*$H63,D$25*$I63,D$26*$J63,D$27*$K63)/100</f>
        <v>7.4011235955056183</v>
      </c>
      <c r="M63" s="22" t="n">
        <f>SUM(E$23*$G63,E$24*$H63,E$25*$I63,E$26*$J63,E$27*$K63)/100</f>
        <v>3.5870636152055853</v>
      </c>
      <c r="N63" s="22" t="n">
        <f>SUM(F$23*$G63,F$24*$H63,F$25*$I63,F$26*$J63,F$27*$K63)/100</f>
        <v>4.6684499003463937</v>
      </c>
      <c r="O63" s="51" t="str">
        <f>IF(COUNTIF(L63:N63,MAX(L63:N63))&gt;1,"Tie",INDEX($L$34:$N$34,1,MATCH(MAX(L63:N63),L63:N63,0)))</f>
        <v>ARUCO</v>
      </c>
    </row>
    <row r="64">
      <c r="A64" s="47" t="s">
        <v>77</v>
      </c>
      <c r="B64" s="53" t="n">
        <f>$C$14</f>
        <v>10</v>
      </c>
      <c r="C64" s="53" t="n">
        <f>$C$13</f>
        <v>6</v>
      </c>
      <c r="D64" s="53" t="n">
        <f>$C$17</f>
        <v>8</v>
      </c>
      <c r="E64" s="53" t="n">
        <f>$C$16</f>
        <v>9</v>
      </c>
      <c r="F64" s="53" t="n">
        <f>$C$15</f>
        <v>7</v>
      </c>
      <c r="G64" s="23" t="n">
        <f>B64/$C$18*100</f>
        <v>25</v>
      </c>
      <c r="H64" s="50" t="n">
        <f>C64/$C$18*100</f>
        <v>15</v>
      </c>
      <c r="I64" s="50" t="n">
        <f>D64/$C$18*100</f>
        <v>20</v>
      </c>
      <c r="J64" s="50" t="n">
        <f>E64/$C$18*100</f>
        <v>22.5</v>
      </c>
      <c r="K64" s="50" t="n">
        <f>F64/$C$18*100</f>
        <v>17.5</v>
      </c>
      <c r="L64" s="22" t="n">
        <f>SUM(D$23*$G64,D$24*$H64,D$25*$I64,D$26*$J64,D$27*$K64)/100</f>
        <v>7.178651685393258</v>
      </c>
      <c r="M64" s="22" t="n">
        <f>SUM(E$23*$G64,E$24*$H64,E$25*$I64,E$26*$J64,E$27*$K64)/100</f>
        <v>4.037063615205585</v>
      </c>
      <c r="N64" s="22" t="n">
        <f>SUM(F$23*$G64,F$24*$H64,F$25*$I64,F$26*$J64,F$27*$K64)/100</f>
        <v>4.2895211286133605</v>
      </c>
      <c r="O64" s="51" t="str">
        <f>IF(COUNTIF(L64:N64,MAX(L64:N64))&gt;1,"Tie",INDEX($L$34:$N$34,1,MATCH(MAX(L64:N64),L64:N64,0)))</f>
        <v>ARUCO</v>
      </c>
    </row>
    <row r="65">
      <c r="A65" s="47" t="s">
        <v>78</v>
      </c>
      <c r="B65" s="53" t="n">
        <f>$C$14</f>
        <v>10</v>
      </c>
      <c r="C65" s="53" t="n">
        <f>$C$15</f>
        <v>7</v>
      </c>
      <c r="D65" s="53" t="n">
        <f>$C$13</f>
        <v>6</v>
      </c>
      <c r="E65" s="53" t="n">
        <f>$C$16</f>
        <v>9</v>
      </c>
      <c r="F65" s="53" t="n">
        <f>$C$17</f>
        <v>8</v>
      </c>
      <c r="G65" s="23" t="n">
        <f>B65/$C$18*100</f>
        <v>25</v>
      </c>
      <c r="H65" s="50" t="n">
        <f>C65/$C$18*100</f>
        <v>17.5</v>
      </c>
      <c r="I65" s="50" t="n">
        <f>D65/$C$18*100</f>
        <v>15</v>
      </c>
      <c r="J65" s="50" t="n">
        <f>E65/$C$18*100</f>
        <v>22.5</v>
      </c>
      <c r="K65" s="50" t="n">
        <f>F65/$C$18*100</f>
        <v>20</v>
      </c>
      <c r="L65" s="22" t="n">
        <f>SUM(D$23*$G65,D$24*$H65,D$25*$I65,D$26*$J65,D$27*$K65)/100</f>
        <v>7.064887640449439</v>
      </c>
      <c r="M65" s="22" t="n">
        <f>SUM(E$23*$G65,E$24*$H65,E$25*$I65,E$26*$J65,E$27*$K65)/100</f>
        <v>4.2057408844065165</v>
      </c>
      <c r="N65" s="22" t="n">
        <f>SUM(F$23*$G65,F$24*$H65,F$25*$I65,F$26*$J65,F$27*$K65)/100</f>
        <v>4.3996122120265913</v>
      </c>
      <c r="O65" s="51" t="str">
        <f>IF(COUNTIF(L65:N65,MAX(L65:N65))&gt;1,"Tie",INDEX($L$34:$N$34,1,MATCH(MAX(L65:N65),L65:N65,0)))</f>
        <v>ARUCO</v>
      </c>
    </row>
    <row r="66">
      <c r="A66" s="47" t="s">
        <v>79</v>
      </c>
      <c r="B66" s="53" t="n">
        <f>$C$14</f>
        <v>10</v>
      </c>
      <c r="C66" s="53" t="n">
        <f>$C$15</f>
        <v>7</v>
      </c>
      <c r="D66" s="53" t="n">
        <f>$C$13</f>
        <v>6</v>
      </c>
      <c r="E66" s="53" t="n">
        <f>$C$17</f>
        <v>8</v>
      </c>
      <c r="F66" s="53" t="n">
        <f>$C$16</f>
        <v>9</v>
      </c>
      <c r="G66" s="23" t="n">
        <f>B66/$C$18*100</f>
        <v>25</v>
      </c>
      <c r="H66" s="50" t="n">
        <f>C66/$C$18*100</f>
        <v>17.5</v>
      </c>
      <c r="I66" s="50" t="n">
        <f>D66/$C$18*100</f>
        <v>15</v>
      </c>
      <c r="J66" s="50" t="n">
        <f>E66/$C$18*100</f>
        <v>20</v>
      </c>
      <c r="K66" s="50" t="n">
        <f>F66/$C$18*100</f>
        <v>22.5</v>
      </c>
      <c r="L66" s="22" t="n">
        <f>SUM(D$23*$G66,D$24*$H66,D$25*$I66,D$26*$J66,D$27*$K66)/100</f>
        <v>7.1761235955056177</v>
      </c>
      <c r="M66" s="22" t="n">
        <f>SUM(E$23*$G66,E$24*$H66,E$25*$I66,E$26*$J66,E$27*$K66)/100</f>
        <v>3.9807408844065164</v>
      </c>
      <c r="N66" s="22" t="n">
        <f>SUM(F$23*$G66,F$24*$H66,F$25*$I66,F$26*$J66,F$27*$K66)/100</f>
        <v>4.5890765978931078</v>
      </c>
      <c r="O66" s="51" t="str">
        <f>IF(COUNTIF(L66:N66,MAX(L66:N66))&gt;1,"Tie",INDEX($L$34:$N$34,1,MATCH(MAX(L66:N66),L66:N66,0)))</f>
        <v>ARUCO</v>
      </c>
    </row>
    <row r="67">
      <c r="A67" s="47" t="s">
        <v>80</v>
      </c>
      <c r="B67" s="53" t="n">
        <f>$C$14</f>
        <v>10</v>
      </c>
      <c r="C67" s="53" t="n">
        <f>$C$15</f>
        <v>7</v>
      </c>
      <c r="D67" s="53" t="n">
        <f>$C$16</f>
        <v>9</v>
      </c>
      <c r="E67" s="53" t="n">
        <f>$C$13</f>
        <v>6</v>
      </c>
      <c r="F67" s="53" t="n">
        <f>$C$17</f>
        <v>8</v>
      </c>
      <c r="G67" s="23" t="n">
        <f>B67/$C$18*100</f>
        <v>25</v>
      </c>
      <c r="H67" s="50" t="n">
        <f>C67/$C$18*100</f>
        <v>17.5</v>
      </c>
      <c r="I67" s="50" t="n">
        <f>D67/$C$18*100</f>
        <v>22.5</v>
      </c>
      <c r="J67" s="50" t="n">
        <f>E67/$C$18*100</f>
        <v>15</v>
      </c>
      <c r="K67" s="50" t="n">
        <f>F67/$C$18*100</f>
        <v>20</v>
      </c>
      <c r="L67" s="22" t="n">
        <f>SUM(D$23*$G67,D$24*$H67,D$25*$I67,D$26*$J67,D$27*$K67)/100</f>
        <v>7.7398876404494388</v>
      </c>
      <c r="M67" s="22" t="n">
        <f>SUM(E$23*$G67,E$24*$H67,E$25*$I67,E$26*$J67,E$27*$K67)/100</f>
        <v>3.5307408844065167</v>
      </c>
      <c r="N67" s="22" t="n">
        <f>SUM(F$23*$G67,F$24*$H67,F$25*$I67,F$26*$J67,F$27*$K67)/100</f>
        <v>4.4653687445062946</v>
      </c>
      <c r="O67" s="51" t="str">
        <f>IF(COUNTIF(L67:N67,MAX(L67:N67))&gt;1,"Tie",INDEX($L$34:$N$34,1,MATCH(MAX(L67:N67),L67:N67,0)))</f>
        <v>ARUCO</v>
      </c>
    </row>
    <row r="68">
      <c r="A68" s="47" t="s">
        <v>81</v>
      </c>
      <c r="B68" s="53" t="n">
        <f>$C$14</f>
        <v>10</v>
      </c>
      <c r="C68" s="53" t="n">
        <f>$C$15</f>
        <v>7</v>
      </c>
      <c r="D68" s="53" t="n">
        <f>$C$16</f>
        <v>9</v>
      </c>
      <c r="E68" s="53" t="n">
        <f>$C$17</f>
        <v>8</v>
      </c>
      <c r="F68" s="53" t="n">
        <f>$C$13</f>
        <v>6</v>
      </c>
      <c r="G68" s="23" t="n">
        <f>B68/$C$18*100</f>
        <v>25</v>
      </c>
      <c r="H68" s="50" t="n">
        <f>C68/$C$18*100</f>
        <v>17.5</v>
      </c>
      <c r="I68" s="50" t="n">
        <f>D68/$C$18*100</f>
        <v>22.5</v>
      </c>
      <c r="J68" s="50" t="n">
        <f>E68/$C$18*100</f>
        <v>20</v>
      </c>
      <c r="K68" s="50" t="n">
        <f>F68/$C$18*100</f>
        <v>15</v>
      </c>
      <c r="L68" s="22" t="n">
        <f>SUM(D$23*$G68,D$24*$H68,D$25*$I68,D$26*$J68,D$27*$K68)/100</f>
        <v>7.5174157303370794</v>
      </c>
      <c r="M68" s="22" t="n">
        <f>SUM(E$23*$G68,E$24*$H68,E$25*$I68,E$26*$J68,E$27*$K68)/100</f>
        <v>3.9807408844065164</v>
      </c>
      <c r="N68" s="22" t="n">
        <f>SUM(F$23*$G68,F$24*$H68,F$25*$I68,F$26*$J68,F$27*$K68)/100</f>
        <v>4.0864399727732614</v>
      </c>
      <c r="O68" s="51" t="str">
        <f>IF(COUNTIF(L68:N68,MAX(L68:N68))&gt;1,"Tie",INDEX($L$34:$N$34,1,MATCH(MAX(L68:N68),L68:N68,0)))</f>
        <v>ARUCO</v>
      </c>
    </row>
    <row r="69">
      <c r="A69" s="47" t="s">
        <v>82</v>
      </c>
      <c r="B69" s="53" t="n">
        <f>$C$14</f>
        <v>10</v>
      </c>
      <c r="C69" s="53" t="n">
        <f>$C$15</f>
        <v>7</v>
      </c>
      <c r="D69" s="53" t="n">
        <f>$C$17</f>
        <v>8</v>
      </c>
      <c r="E69" s="53" t="n">
        <f>$C$13</f>
        <v>6</v>
      </c>
      <c r="F69" s="53" t="n">
        <f>$C$16</f>
        <v>9</v>
      </c>
      <c r="G69" s="23" t="n">
        <f>B69/$C$18*100</f>
        <v>25</v>
      </c>
      <c r="H69" s="50" t="n">
        <f>C69/$C$18*100</f>
        <v>17.5</v>
      </c>
      <c r="I69" s="50" t="n">
        <f>D69/$C$18*100</f>
        <v>20</v>
      </c>
      <c r="J69" s="50" t="n">
        <f>E69/$C$18*100</f>
        <v>15</v>
      </c>
      <c r="K69" s="50" t="n">
        <f>F69/$C$18*100</f>
        <v>22.5</v>
      </c>
      <c r="L69" s="22" t="n">
        <f>SUM(D$23*$G69,D$24*$H69,D$25*$I69,D$26*$J69,D$27*$K69)/100</f>
        <v>7.6261235955056179</v>
      </c>
      <c r="M69" s="22" t="n">
        <f>SUM(E$23*$G69,E$24*$H69,E$25*$I69,E$26*$J69,E$27*$K69)/100</f>
        <v>3.5307408844065167</v>
      </c>
      <c r="N69" s="22" t="n">
        <f>SUM(F$23*$G69,F$24*$H69,F$25*$I69,F$26*$J69,F$27*$K69)/100</f>
        <v>4.6329142862129107</v>
      </c>
      <c r="O69" s="51" t="str">
        <f>IF(COUNTIF(L69:N69,MAX(L69:N69))&gt;1,"Tie",INDEX($L$34:$N$34,1,MATCH(MAX(L69:N69),L69:N69,0)))</f>
        <v>ARUCO</v>
      </c>
    </row>
    <row r="70">
      <c r="A70" s="47" t="s">
        <v>83</v>
      </c>
      <c r="B70" s="53" t="n">
        <f>$C$14</f>
        <v>10</v>
      </c>
      <c r="C70" s="53" t="n">
        <f>$C$15</f>
        <v>7</v>
      </c>
      <c r="D70" s="53" t="n">
        <f>$C$17</f>
        <v>8</v>
      </c>
      <c r="E70" s="53" t="n">
        <f>$C$16</f>
        <v>9</v>
      </c>
      <c r="F70" s="53" t="n">
        <f>$C$13</f>
        <v>6</v>
      </c>
      <c r="G70" s="23" t="n">
        <f>B70/$C$18*100</f>
        <v>25</v>
      </c>
      <c r="H70" s="50" t="n">
        <f>C70/$C$18*100</f>
        <v>17.5</v>
      </c>
      <c r="I70" s="50" t="n">
        <f>D70/$C$18*100</f>
        <v>20</v>
      </c>
      <c r="J70" s="50" t="n">
        <f>E70/$C$18*100</f>
        <v>22.5</v>
      </c>
      <c r="K70" s="50" t="n">
        <f>F70/$C$18*100</f>
        <v>15</v>
      </c>
      <c r="L70" s="22" t="n">
        <f>SUM(D$23*$G70,D$24*$H70,D$25*$I70,D$26*$J70,D$27*$K70)/100</f>
        <v>7.2924157303370789</v>
      </c>
      <c r="M70" s="22" t="n">
        <f>SUM(E$23*$G70,E$24*$H70,E$25*$I70,E$26*$J70,E$27*$K70)/100</f>
        <v>4.2057408844065165</v>
      </c>
      <c r="N70" s="22" t="n">
        <f>SUM(F$23*$G70,F$24*$H70,F$25*$I70,F$26*$J70,F$27*$K70)/100</f>
        <v>4.06452112861336</v>
      </c>
      <c r="O70" s="51" t="str">
        <f>IF(COUNTIF(L70:N70,MAX(L70:N70))&gt;1,"Tie",INDEX($L$34:$N$34,1,MATCH(MAX(L70:N70),L70:N70,0)))</f>
        <v>ARUCO</v>
      </c>
    </row>
    <row r="71">
      <c r="A71" s="47" t="s">
        <v>84</v>
      </c>
      <c r="B71" s="53" t="n">
        <f>$C$14</f>
        <v>10</v>
      </c>
      <c r="C71" s="53" t="n">
        <f>$C$16</f>
        <v>9</v>
      </c>
      <c r="D71" s="53" t="n">
        <f>$C$13</f>
        <v>6</v>
      </c>
      <c r="E71" s="53" t="n">
        <f>$C$15</f>
        <v>7</v>
      </c>
      <c r="F71" s="53" t="n">
        <f>$C$17</f>
        <v>8</v>
      </c>
      <c r="G71" s="23" t="n">
        <f>B71/$C$18*100</f>
        <v>25</v>
      </c>
      <c r="H71" s="50" t="n">
        <f>C71/$C$18*100</f>
        <v>22.5</v>
      </c>
      <c r="I71" s="50" t="n">
        <f>D71/$C$18*100</f>
        <v>15</v>
      </c>
      <c r="J71" s="50" t="n">
        <f>E71/$C$18*100</f>
        <v>17.5</v>
      </c>
      <c r="K71" s="50" t="n">
        <f>F71/$C$18*100</f>
        <v>20</v>
      </c>
      <c r="L71" s="22" t="n">
        <f>SUM(D$23*$G71,D$24*$H71,D$25*$I71,D$26*$J71,D$27*$K71)/100</f>
        <v>7.5148876404494391</v>
      </c>
      <c r="M71" s="22" t="n">
        <f>SUM(E$23*$G71,E$24*$H71,E$25*$I71,E$26*$J71,E$27*$K71)/100</f>
        <v>4.0930954228083776</v>
      </c>
      <c r="N71" s="22" t="n">
        <f>SUM(F$23*$G71,F$24*$H71,F$25*$I71,F$26*$J71,F$27*$K71)/100</f>
        <v>4.3285409837596251</v>
      </c>
      <c r="O71" s="51" t="str">
        <f>IF(COUNTIF(L71:N71,MAX(L71:N71))&gt;1,"Tie",INDEX($L$34:$N$34,1,MATCH(MAX(L71:N71),L71:N71,0)))</f>
        <v>ARUCO</v>
      </c>
    </row>
    <row r="72">
      <c r="A72" s="47" t="s">
        <v>85</v>
      </c>
      <c r="B72" s="53" t="n">
        <f>$C$14</f>
        <v>10</v>
      </c>
      <c r="C72" s="53" t="n">
        <f>$C$16</f>
        <v>9</v>
      </c>
      <c r="D72" s="53" t="n">
        <f>$C$13</f>
        <v>6</v>
      </c>
      <c r="E72" s="53" t="n">
        <f>$C$17</f>
        <v>8</v>
      </c>
      <c r="F72" s="53" t="n">
        <f>$C$15</f>
        <v>7</v>
      </c>
      <c r="G72" s="23" t="n">
        <f>B72/$C$18*100</f>
        <v>25</v>
      </c>
      <c r="H72" s="50" t="n">
        <f>C72/$C$18*100</f>
        <v>22.5</v>
      </c>
      <c r="I72" s="50" t="n">
        <f>D72/$C$18*100</f>
        <v>15</v>
      </c>
      <c r="J72" s="50" t="n">
        <f>E72/$C$18*100</f>
        <v>20</v>
      </c>
      <c r="K72" s="50" t="n">
        <f>F72/$C$18*100</f>
        <v>17.5</v>
      </c>
      <c r="L72" s="22" t="n">
        <f>SUM(D$23*$G72,D$24*$H72,D$25*$I72,D$26*$J72,D$27*$K72)/100</f>
        <v>7.4036516853932586</v>
      </c>
      <c r="M72" s="22" t="n">
        <f>SUM(E$23*$G72,E$24*$H72,E$25*$I72,E$26*$J72,E$27*$K72)/100</f>
        <v>4.3180954228083781</v>
      </c>
      <c r="N72" s="22" t="n">
        <f>SUM(F$23*$G72,F$24*$H72,F$25*$I72,F$26*$J72,F$27*$K72)/100</f>
        <v>4.1390765978931077</v>
      </c>
      <c r="O72" s="51" t="str">
        <f>IF(COUNTIF(L72:N72,MAX(L72:N72))&gt;1,"Tie",INDEX($L$34:$N$34,1,MATCH(MAX(L72:N72),L72:N72,0)))</f>
        <v>ARUCO</v>
      </c>
    </row>
    <row r="73">
      <c r="A73" s="47" t="s">
        <v>86</v>
      </c>
      <c r="B73" s="53" t="n">
        <f>$C$14</f>
        <v>10</v>
      </c>
      <c r="C73" s="53" t="n">
        <f>$C$16</f>
        <v>9</v>
      </c>
      <c r="D73" s="53" t="n">
        <f>$C$15</f>
        <v>7</v>
      </c>
      <c r="E73" s="53" t="n">
        <f>$C$13</f>
        <v>6</v>
      </c>
      <c r="F73" s="53" t="n">
        <f>$C$17</f>
        <v>8</v>
      </c>
      <c r="G73" s="23" t="n">
        <f>B73/$C$18*100</f>
        <v>25</v>
      </c>
      <c r="H73" s="50" t="n">
        <f>C73/$C$18*100</f>
        <v>22.5</v>
      </c>
      <c r="I73" s="50" t="n">
        <f>D73/$C$18*100</f>
        <v>17.5</v>
      </c>
      <c r="J73" s="50" t="n">
        <f>E73/$C$18*100</f>
        <v>15</v>
      </c>
      <c r="K73" s="50" t="n">
        <f>F73/$C$18*100</f>
        <v>20</v>
      </c>
      <c r="L73" s="22" t="n">
        <f>SUM(D$23*$G73,D$24*$H73,D$25*$I73,D$26*$J73,D$27*$K73)/100</f>
        <v>7.7398876404494388</v>
      </c>
      <c r="M73" s="22" t="n">
        <f>SUM(E$23*$G73,E$24*$H73,E$25*$I73,E$26*$J73,E$27*$K73)/100</f>
        <v>3.8680954228083779</v>
      </c>
      <c r="N73" s="22" t="n">
        <f>SUM(F$23*$G73,F$24*$H73,F$25*$I73,F$26*$J73,F$27*$K73)/100</f>
        <v>4.3504598279195257</v>
      </c>
      <c r="O73" s="51" t="str">
        <f>IF(COUNTIF(L73:N73,MAX(L73:N73))&gt;1,"Tie",INDEX($L$34:$N$34,1,MATCH(MAX(L73:N73),L73:N73,0)))</f>
        <v>ARUCO</v>
      </c>
    </row>
    <row r="74">
      <c r="A74" s="47" t="s">
        <v>87</v>
      </c>
      <c r="B74" s="53" t="n">
        <f>$C$14</f>
        <v>10</v>
      </c>
      <c r="C74" s="53" t="n">
        <f>$C$16</f>
        <v>9</v>
      </c>
      <c r="D74" s="53" t="n">
        <f>$C$15</f>
        <v>7</v>
      </c>
      <c r="E74" s="53" t="n">
        <f>$C$17</f>
        <v>8</v>
      </c>
      <c r="F74" s="53" t="n">
        <f>$C$13</f>
        <v>6</v>
      </c>
      <c r="G74" s="23" t="n">
        <f>B74/$C$18*100</f>
        <v>25</v>
      </c>
      <c r="H74" s="50" t="n">
        <f>C74/$C$18*100</f>
        <v>22.5</v>
      </c>
      <c r="I74" s="50" t="n">
        <f>D74/$C$18*100</f>
        <v>17.5</v>
      </c>
      <c r="J74" s="50" t="n">
        <f>E74/$C$18*100</f>
        <v>20</v>
      </c>
      <c r="K74" s="50" t="n">
        <f>F74/$C$18*100</f>
        <v>15</v>
      </c>
      <c r="L74" s="22" t="n">
        <f>SUM(D$23*$G74,D$24*$H74,D$25*$I74,D$26*$J74,D$27*$K74)/100</f>
        <v>7.5174157303370794</v>
      </c>
      <c r="M74" s="22" t="n">
        <f>SUM(E$23*$G74,E$24*$H74,E$25*$I74,E$26*$J74,E$27*$K74)/100</f>
        <v>4.3180954228083781</v>
      </c>
      <c r="N74" s="22" t="n">
        <f>SUM(F$23*$G74,F$24*$H74,F$25*$I74,F$26*$J74,F$27*$K74)/100</f>
        <v>3.9715310561864925</v>
      </c>
      <c r="O74" s="51" t="str">
        <f>IF(COUNTIF(L74:N74,MAX(L74:N74))&gt;1,"Tie",INDEX($L$34:$N$34,1,MATCH(MAX(L74:N74),L74:N74,0)))</f>
        <v>ARUCO</v>
      </c>
    </row>
    <row r="75">
      <c r="A75" s="47" t="s">
        <v>88</v>
      </c>
      <c r="B75" s="53" t="n">
        <f>$C$14</f>
        <v>10</v>
      </c>
      <c r="C75" s="53" t="n">
        <f>$C$16</f>
        <v>9</v>
      </c>
      <c r="D75" s="53" t="n">
        <f>$C$17</f>
        <v>8</v>
      </c>
      <c r="E75" s="53" t="n">
        <f>$C$13</f>
        <v>6</v>
      </c>
      <c r="F75" s="53" t="n">
        <f>$C$15</f>
        <v>7</v>
      </c>
      <c r="G75" s="23" t="n">
        <f>B75/$C$18*100</f>
        <v>25</v>
      </c>
      <c r="H75" s="50" t="n">
        <f>C75/$C$18*100</f>
        <v>22.5</v>
      </c>
      <c r="I75" s="50" t="n">
        <f>D75/$C$18*100</f>
        <v>20</v>
      </c>
      <c r="J75" s="50" t="n">
        <f>E75/$C$18*100</f>
        <v>15</v>
      </c>
      <c r="K75" s="50" t="n">
        <f>F75/$C$18*100</f>
        <v>17.5</v>
      </c>
      <c r="L75" s="22" t="n">
        <f>SUM(D$23*$G75,D$24*$H75,D$25*$I75,D$26*$J75,D$27*$K75)/100</f>
        <v>7.8536516853932579</v>
      </c>
      <c r="M75" s="22" t="n">
        <f>SUM(E$23*$G75,E$24*$H75,E$25*$I75,E$26*$J75,E$27*$K75)/100</f>
        <v>3.8680954228083779</v>
      </c>
      <c r="N75" s="22" t="n">
        <f>SUM(F$23*$G75,F$24*$H75,F$25*$I75,F$26*$J75,F$27*$K75)/100</f>
        <v>4.1829142862129105</v>
      </c>
      <c r="O75" s="51" t="str">
        <f>IF(COUNTIF(L75:N75,MAX(L75:N75))&gt;1,"Tie",INDEX($L$34:$N$34,1,MATCH(MAX(L75:N75),L75:N75,0)))</f>
        <v>ARUCO</v>
      </c>
    </row>
    <row r="76">
      <c r="A76" s="47" t="s">
        <v>89</v>
      </c>
      <c r="B76" s="53" t="n">
        <f>$C$14</f>
        <v>10</v>
      </c>
      <c r="C76" s="53" t="n">
        <f>$C$16</f>
        <v>9</v>
      </c>
      <c r="D76" s="53" t="n">
        <f>$C$17</f>
        <v>8</v>
      </c>
      <c r="E76" s="53" t="n">
        <f>$C$15</f>
        <v>7</v>
      </c>
      <c r="F76" s="53" t="n">
        <f>$C$13</f>
        <v>6</v>
      </c>
      <c r="G76" s="23" t="n">
        <f>B76/$C$18*100</f>
        <v>25</v>
      </c>
      <c r="H76" s="50" t="n">
        <f>C76/$C$18*100</f>
        <v>22.5</v>
      </c>
      <c r="I76" s="50" t="n">
        <f>D76/$C$18*100</f>
        <v>20</v>
      </c>
      <c r="J76" s="50" t="n">
        <f>E76/$C$18*100</f>
        <v>17.5</v>
      </c>
      <c r="K76" s="50" t="n">
        <f>F76/$C$18*100</f>
        <v>15</v>
      </c>
      <c r="L76" s="22" t="n">
        <f>SUM(D$23*$G76,D$24*$H76,D$25*$I76,D$26*$J76,D$27*$K76)/100</f>
        <v>7.7424157303370791</v>
      </c>
      <c r="M76" s="22" t="n">
        <f>SUM(E$23*$G76,E$24*$H76,E$25*$I76,E$26*$J76,E$27*$K76)/100</f>
        <v>4.0930954228083776</v>
      </c>
      <c r="N76" s="22" t="n">
        <f>SUM(F$23*$G76,F$24*$H76,F$25*$I76,F$26*$J76,F$27*$K76)/100</f>
        <v>3.9934499003463935</v>
      </c>
      <c r="O76" s="51" t="str">
        <f>IF(COUNTIF(L76:N76,MAX(L76:N76))&gt;1,"Tie",INDEX($L$34:$N$34,1,MATCH(MAX(L76:N76),L76:N76,0)))</f>
        <v>ARUCO</v>
      </c>
    </row>
    <row r="77">
      <c r="A77" s="47" t="s">
        <v>90</v>
      </c>
      <c r="B77" s="53" t="n">
        <f>$C$14</f>
        <v>10</v>
      </c>
      <c r="C77" s="53" t="n">
        <f>$C$17</f>
        <v>8</v>
      </c>
      <c r="D77" s="53" t="n">
        <f>$C$13</f>
        <v>6</v>
      </c>
      <c r="E77" s="53" t="n">
        <f>$C$15</f>
        <v>7</v>
      </c>
      <c r="F77" s="53" t="n">
        <f>$C$16</f>
        <v>9</v>
      </c>
      <c r="G77" s="23" t="n">
        <f>B77/$C$18*100</f>
        <v>25</v>
      </c>
      <c r="H77" s="50" t="n">
        <f>C77/$C$18*100</f>
        <v>20</v>
      </c>
      <c r="I77" s="50" t="n">
        <f>D77/$C$18*100</f>
        <v>15</v>
      </c>
      <c r="J77" s="50" t="n">
        <f>E77/$C$18*100</f>
        <v>17.5</v>
      </c>
      <c r="K77" s="50" t="n">
        <f>F77/$C$18*100</f>
        <v>22.5</v>
      </c>
      <c r="L77" s="22" t="n">
        <f>SUM(D$23*$G77,D$24*$H77,D$25*$I77,D$26*$J77,D$27*$K77)/100</f>
        <v>7.4011235955056183</v>
      </c>
      <c r="M77" s="22" t="n">
        <f>SUM(E$23*$G77,E$24*$H77,E$25*$I77,E$26*$J77,E$27*$K77)/100</f>
        <v>3.9244181536074469</v>
      </c>
      <c r="N77" s="22" t="n">
        <f>SUM(F$23*$G77,F$24*$H77,F$25*$I77,F$26*$J77,F$27*$K77)/100</f>
        <v>4.5535409837596248</v>
      </c>
      <c r="O77" s="51" t="str">
        <f>IF(COUNTIF(L77:N77,MAX(L77:N77))&gt;1,"Tie",INDEX($L$34:$N$34,1,MATCH(MAX(L77:N77),L77:N77,0)))</f>
        <v>ARUCO</v>
      </c>
    </row>
    <row r="78">
      <c r="A78" s="47" t="s">
        <v>91</v>
      </c>
      <c r="B78" s="53" t="n">
        <f>$C$14</f>
        <v>10</v>
      </c>
      <c r="C78" s="53" t="n">
        <f>$C$17</f>
        <v>8</v>
      </c>
      <c r="D78" s="53" t="n">
        <f>$C$13</f>
        <v>6</v>
      </c>
      <c r="E78" s="53" t="n">
        <f>$C$16</f>
        <v>9</v>
      </c>
      <c r="F78" s="53" t="n">
        <f>$C$15</f>
        <v>7</v>
      </c>
      <c r="G78" s="23" t="n">
        <f>B78/$C$18*100</f>
        <v>25</v>
      </c>
      <c r="H78" s="50" t="n">
        <f>C78/$C$18*100</f>
        <v>20</v>
      </c>
      <c r="I78" s="50" t="n">
        <f>D78/$C$18*100</f>
        <v>15</v>
      </c>
      <c r="J78" s="50" t="n">
        <f>E78/$C$18*100</f>
        <v>22.5</v>
      </c>
      <c r="K78" s="50" t="n">
        <f>F78/$C$18*100</f>
        <v>17.5</v>
      </c>
      <c r="L78" s="22" t="n">
        <f>SUM(D$23*$G78,D$24*$H78,D$25*$I78,D$26*$J78,D$27*$K78)/100</f>
        <v>7.178651685393258</v>
      </c>
      <c r="M78" s="22" t="n">
        <f>SUM(E$23*$G78,E$24*$H78,E$25*$I78,E$26*$J78,E$27*$K78)/100</f>
        <v>4.3744181536074471</v>
      </c>
      <c r="N78" s="22" t="n">
        <f>SUM(F$23*$G78,F$24*$H78,F$25*$I78,F$26*$J78,F$27*$K78)/100</f>
        <v>4.1746122120265907</v>
      </c>
      <c r="O78" s="51" t="str">
        <f>IF(COUNTIF(L78:N78,MAX(L78:N78))&gt;1,"Tie",INDEX($L$34:$N$34,1,MATCH(MAX(L78:N78),L78:N78,0)))</f>
        <v>ARUCO</v>
      </c>
    </row>
    <row r="79">
      <c r="A79" s="47" t="s">
        <v>92</v>
      </c>
      <c r="B79" s="53" t="n">
        <f>$C$14</f>
        <v>10</v>
      </c>
      <c r="C79" s="53" t="n">
        <f>$C$17</f>
        <v>8</v>
      </c>
      <c r="D79" s="53" t="n">
        <f>$C$15</f>
        <v>7</v>
      </c>
      <c r="E79" s="53" t="n">
        <f>$C$13</f>
        <v>6</v>
      </c>
      <c r="F79" s="53" t="n">
        <f>$C$16</f>
        <v>9</v>
      </c>
      <c r="G79" s="23" t="n">
        <f>B79/$C$18*100</f>
        <v>25</v>
      </c>
      <c r="H79" s="50" t="n">
        <f>C79/$C$18*100</f>
        <v>20</v>
      </c>
      <c r="I79" s="50" t="n">
        <f>D79/$C$18*100</f>
        <v>17.5</v>
      </c>
      <c r="J79" s="50" t="n">
        <f>E79/$C$18*100</f>
        <v>15</v>
      </c>
      <c r="K79" s="50" t="n">
        <f>F79/$C$18*100</f>
        <v>22.5</v>
      </c>
      <c r="L79" s="22" t="n">
        <f>SUM(D$23*$G79,D$24*$H79,D$25*$I79,D$26*$J79,D$27*$K79)/100</f>
        <v>7.6261235955056179</v>
      </c>
      <c r="M79" s="22" t="n">
        <f>SUM(E$23*$G79,E$24*$H79,E$25*$I79,E$26*$J79,E$27*$K79)/100</f>
        <v>3.6994181536074473</v>
      </c>
      <c r="N79" s="22" t="n">
        <f>SUM(F$23*$G79,F$24*$H79,F$25*$I79,F$26*$J79,F$27*$K79)/100</f>
        <v>4.5754598279195253</v>
      </c>
      <c r="O79" s="51" t="str">
        <f>IF(COUNTIF(L79:N79,MAX(L79:N79))&gt;1,"Tie",INDEX($L$34:$N$34,1,MATCH(MAX(L79:N79),L79:N79,0)))</f>
        <v>ARUCO</v>
      </c>
    </row>
    <row r="80">
      <c r="A80" s="47" t="s">
        <v>93</v>
      </c>
      <c r="B80" s="53" t="n">
        <f>$C$14</f>
        <v>10</v>
      </c>
      <c r="C80" s="53" t="n">
        <f>$C$17</f>
        <v>8</v>
      </c>
      <c r="D80" s="53" t="n">
        <f>$C$15</f>
        <v>7</v>
      </c>
      <c r="E80" s="53" t="n">
        <f>$C$16</f>
        <v>9</v>
      </c>
      <c r="F80" s="53" t="n">
        <f>$C$13</f>
        <v>6</v>
      </c>
      <c r="G80" s="23" t="n">
        <f>B80/$C$18*100</f>
        <v>25</v>
      </c>
      <c r="H80" s="50" t="n">
        <f>C80/$C$18*100</f>
        <v>20</v>
      </c>
      <c r="I80" s="50" t="n">
        <f>D80/$C$18*100</f>
        <v>17.5</v>
      </c>
      <c r="J80" s="50" t="n">
        <f>E80/$C$18*100</f>
        <v>22.5</v>
      </c>
      <c r="K80" s="50" t="n">
        <f>F80/$C$18*100</f>
        <v>15</v>
      </c>
      <c r="L80" s="22" t="n">
        <f>SUM(D$23*$G80,D$24*$H80,D$25*$I80,D$26*$J80,D$27*$K80)/100</f>
        <v>7.2924157303370789</v>
      </c>
      <c r="M80" s="22" t="n">
        <f>SUM(E$23*$G80,E$24*$H80,E$25*$I80,E$26*$J80,E$27*$K80)/100</f>
        <v>4.3744181536074471</v>
      </c>
      <c r="N80" s="22" t="n">
        <f>SUM(F$23*$G80,F$24*$H80,F$25*$I80,F$26*$J80,F$27*$K80)/100</f>
        <v>4.0070666703199755</v>
      </c>
      <c r="O80" s="51" t="str">
        <f>IF(COUNTIF(L80:N80,MAX(L80:N80))&gt;1,"Tie",INDEX($L$34:$N$34,1,MATCH(MAX(L80:N80),L80:N80,0)))</f>
        <v>ARUCO</v>
      </c>
    </row>
    <row r="81">
      <c r="A81" s="47" t="s">
        <v>94</v>
      </c>
      <c r="B81" s="53" t="n">
        <f>$C$14</f>
        <v>10</v>
      </c>
      <c r="C81" s="53" t="n">
        <f>$C$17</f>
        <v>8</v>
      </c>
      <c r="D81" s="53" t="n">
        <f>$C$16</f>
        <v>9</v>
      </c>
      <c r="E81" s="53" t="n">
        <f>$C$13</f>
        <v>6</v>
      </c>
      <c r="F81" s="53" t="n">
        <f>$C$15</f>
        <v>7</v>
      </c>
      <c r="G81" s="23" t="n">
        <f>B81/$C$18*100</f>
        <v>25</v>
      </c>
      <c r="H81" s="50" t="n">
        <f>C81/$C$18*100</f>
        <v>20</v>
      </c>
      <c r="I81" s="50" t="n">
        <f>D81/$C$18*100</f>
        <v>22.5</v>
      </c>
      <c r="J81" s="50" t="n">
        <f>E81/$C$18*100</f>
        <v>15</v>
      </c>
      <c r="K81" s="50" t="n">
        <f>F81/$C$18*100</f>
        <v>17.5</v>
      </c>
      <c r="L81" s="22" t="n">
        <f>SUM(D$23*$G81,D$24*$H81,D$25*$I81,D$26*$J81,D$27*$K81)/100</f>
        <v>7.8536516853932579</v>
      </c>
      <c r="M81" s="22" t="n">
        <f>SUM(E$23*$G81,E$24*$H81,E$25*$I81,E$26*$J81,E$27*$K81)/100</f>
        <v>3.6994181536074473</v>
      </c>
      <c r="N81" s="22" t="n">
        <f>SUM(F$23*$G81,F$24*$H81,F$25*$I81,F$26*$J81,F$27*$K81)/100</f>
        <v>4.2403687445062941</v>
      </c>
      <c r="O81" s="51" t="str">
        <f>IF(COUNTIF(L81:N81,MAX(L81:N81))&gt;1,"Tie",INDEX($L$34:$N$34,1,MATCH(MAX(L81:N81),L81:N81,0)))</f>
        <v>ARUCO</v>
      </c>
    </row>
    <row r="82">
      <c r="A82" s="47" t="s">
        <v>95</v>
      </c>
      <c r="B82" s="53" t="n">
        <f>$C$14</f>
        <v>10</v>
      </c>
      <c r="C82" s="53" t="n">
        <f>$C$17</f>
        <v>8</v>
      </c>
      <c r="D82" s="53" t="n">
        <f>$C$16</f>
        <v>9</v>
      </c>
      <c r="E82" s="53" t="n">
        <f>$C$15</f>
        <v>7</v>
      </c>
      <c r="F82" s="53" t="n">
        <f>$C$13</f>
        <v>6</v>
      </c>
      <c r="G82" s="23" t="n">
        <f>B82/$C$18*100</f>
        <v>25</v>
      </c>
      <c r="H82" s="50" t="n">
        <f>C82/$C$18*100</f>
        <v>20</v>
      </c>
      <c r="I82" s="50" t="n">
        <f>D82/$C$18*100</f>
        <v>22.5</v>
      </c>
      <c r="J82" s="50" t="n">
        <f>E82/$C$18*100</f>
        <v>17.5</v>
      </c>
      <c r="K82" s="50" t="n">
        <f>F82/$C$18*100</f>
        <v>15</v>
      </c>
      <c r="L82" s="22" t="n">
        <f>SUM(D$23*$G82,D$24*$H82,D$25*$I82,D$26*$J82,D$27*$K82)/100</f>
        <v>7.7424157303370791</v>
      </c>
      <c r="M82" s="22" t="n">
        <f>SUM(E$23*$G82,E$24*$H82,E$25*$I82,E$26*$J82,E$27*$K82)/100</f>
        <v>3.9244181536074469</v>
      </c>
      <c r="N82" s="22" t="n">
        <f>SUM(F$23*$G82,F$24*$H82,F$25*$I82,F$26*$J82,F$27*$K82)/100</f>
        <v>4.0509043586397784</v>
      </c>
      <c r="O82" s="51" t="str">
        <f>IF(COUNTIF(L82:N82,MAX(L82:N82))&gt;1,"Tie",INDEX($L$34:$N$34,1,MATCH(MAX(L82:N82),L82:N82,0)))</f>
        <v>ARUCO</v>
      </c>
    </row>
    <row r="83">
      <c r="A83" s="47" t="s">
        <v>96</v>
      </c>
      <c r="B83" s="53" t="n">
        <f>$C$15</f>
        <v>7</v>
      </c>
      <c r="C83" s="53" t="n">
        <f>$C$13</f>
        <v>6</v>
      </c>
      <c r="D83" s="53" t="n">
        <f>$C$14</f>
        <v>10</v>
      </c>
      <c r="E83" s="53" t="n">
        <f>$C$16</f>
        <v>9</v>
      </c>
      <c r="F83" s="53" t="n">
        <f>$C$17</f>
        <v>8</v>
      </c>
      <c r="G83" s="23" t="n">
        <f>B83/$C$18*100</f>
        <v>17.5</v>
      </c>
      <c r="H83" s="50" t="n">
        <f>C83/$C$18*100</f>
        <v>15</v>
      </c>
      <c r="I83" s="50" t="n">
        <f>D83/$C$18*100</f>
        <v>25</v>
      </c>
      <c r="J83" s="50" t="n">
        <f>E83/$C$18*100</f>
        <v>22.5</v>
      </c>
      <c r="K83" s="50" t="n">
        <f>F83/$C$18*100</f>
        <v>20</v>
      </c>
      <c r="L83" s="22" t="n">
        <f>SUM(D$23*$G83,D$24*$H83,D$25*$I83,D$26*$J83,D$27*$K83)/100</f>
        <v>7.064887640449439</v>
      </c>
      <c r="M83" s="22" t="n">
        <f>SUM(E$23*$G83,E$24*$H83,E$25*$I83,E$26*$J83,E$27*$K83)/100</f>
        <v>4.037063615205585</v>
      </c>
      <c r="N83" s="22" t="n">
        <f>SUM(F$23*$G83,F$24*$H83,F$25*$I83,F$26*$J83,F$27*$K83)/100</f>
        <v>4.348910564680649</v>
      </c>
      <c r="O83" s="51" t="str">
        <f>IF(COUNTIF(L83:N83,MAX(L83:N83))&gt;1,"Tie",INDEX($L$34:$N$34,1,MATCH(MAX(L83:N83),L83:N83,0)))</f>
        <v>ARUCO</v>
      </c>
    </row>
    <row r="84">
      <c r="A84" s="47" t="s">
        <v>97</v>
      </c>
      <c r="B84" s="53" t="n">
        <f>$C$15</f>
        <v>7</v>
      </c>
      <c r="C84" s="53" t="n">
        <f>$C$13</f>
        <v>6</v>
      </c>
      <c r="D84" s="53" t="n">
        <f>$C$14</f>
        <v>10</v>
      </c>
      <c r="E84" s="53" t="n">
        <f>$C$17</f>
        <v>8</v>
      </c>
      <c r="F84" s="53" t="n">
        <f>$C$16</f>
        <v>9</v>
      </c>
      <c r="G84" s="23" t="n">
        <f>B84/$C$18*100</f>
        <v>17.5</v>
      </c>
      <c r="H84" s="50" t="n">
        <f>C84/$C$18*100</f>
        <v>15</v>
      </c>
      <c r="I84" s="50" t="n">
        <f>D84/$C$18*100</f>
        <v>25</v>
      </c>
      <c r="J84" s="50" t="n">
        <f>E84/$C$18*100</f>
        <v>20</v>
      </c>
      <c r="K84" s="50" t="n">
        <f>F84/$C$18*100</f>
        <v>22.5</v>
      </c>
      <c r="L84" s="22" t="n">
        <f>SUM(D$23*$G84,D$24*$H84,D$25*$I84,D$26*$J84,D$27*$K84)/100</f>
        <v>7.1761235955056177</v>
      </c>
      <c r="M84" s="22" t="n">
        <f>SUM(E$23*$G84,E$24*$H84,E$25*$I84,E$26*$J84,E$27*$K84)/100</f>
        <v>3.8120636152055853</v>
      </c>
      <c r="N84" s="22" t="n">
        <f>SUM(F$23*$G84,F$24*$H84,F$25*$I84,F$26*$J84,F$27*$K84)/100</f>
        <v>4.5383749505471656</v>
      </c>
      <c r="O84" s="51" t="str">
        <f>IF(COUNTIF(L84:N84,MAX(L84:N84))&gt;1,"Tie",INDEX($L$34:$N$34,1,MATCH(MAX(L84:N84),L84:N84,0)))</f>
        <v>ARUCO</v>
      </c>
    </row>
    <row r="85">
      <c r="A85" s="47" t="s">
        <v>98</v>
      </c>
      <c r="B85" s="53" t="n">
        <f>$C$15</f>
        <v>7</v>
      </c>
      <c r="C85" s="53" t="n">
        <f>$C$13</f>
        <v>6</v>
      </c>
      <c r="D85" s="53" t="n">
        <f>$C$16</f>
        <v>9</v>
      </c>
      <c r="E85" s="53" t="n">
        <f>$C$14</f>
        <v>10</v>
      </c>
      <c r="F85" s="53" t="n">
        <f>$C$17</f>
        <v>8</v>
      </c>
      <c r="G85" s="23" t="n">
        <f>B85/$C$18*100</f>
        <v>17.5</v>
      </c>
      <c r="H85" s="50" t="n">
        <f>C85/$C$18*100</f>
        <v>15</v>
      </c>
      <c r="I85" s="50" t="n">
        <f>D85/$C$18*100</f>
        <v>22.5</v>
      </c>
      <c r="J85" s="50" t="n">
        <f>E85/$C$18*100</f>
        <v>25</v>
      </c>
      <c r="K85" s="50" t="n">
        <f>F85/$C$18*100</f>
        <v>20</v>
      </c>
      <c r="L85" s="22" t="n">
        <f>SUM(D$23*$G85,D$24*$H85,D$25*$I85,D$26*$J85,D$27*$K85)/100</f>
        <v>6.8398876404494384</v>
      </c>
      <c r="M85" s="22" t="n">
        <f>SUM(E$23*$G85,E$24*$H85,E$25*$I85,E$26*$J85,E$27*$K85)/100</f>
        <v>4.2620636152055855</v>
      </c>
      <c r="N85" s="22" t="n">
        <f>SUM(F$23*$G85,F$24*$H85,F$25*$I85,F$26*$J85,F$27*$K85)/100</f>
        <v>4.3269917205207467</v>
      </c>
      <c r="O85" s="51" t="str">
        <f>IF(COUNTIF(L85:N85,MAX(L85:N85))&gt;1,"Tie",INDEX($L$34:$N$34,1,MATCH(MAX(L85:N85),L85:N85,0)))</f>
        <v>ARUCO</v>
      </c>
    </row>
    <row r="86">
      <c r="A86" s="47" t="s">
        <v>99</v>
      </c>
      <c r="B86" s="53" t="n">
        <f>$C$15</f>
        <v>7</v>
      </c>
      <c r="C86" s="53" t="n">
        <f>$C$13</f>
        <v>6</v>
      </c>
      <c r="D86" s="53" t="n">
        <f>$C$16</f>
        <v>9</v>
      </c>
      <c r="E86" s="53" t="n">
        <f>$C$17</f>
        <v>8</v>
      </c>
      <c r="F86" s="53" t="n">
        <f>$C$14</f>
        <v>10</v>
      </c>
      <c r="G86" s="23" t="n">
        <f>B86/$C$18*100</f>
        <v>17.5</v>
      </c>
      <c r="H86" s="50" t="n">
        <f>C86/$C$18*100</f>
        <v>15</v>
      </c>
      <c r="I86" s="50" t="n">
        <f>D86/$C$18*100</f>
        <v>22.5</v>
      </c>
      <c r="J86" s="50" t="n">
        <f>E86/$C$18*100</f>
        <v>20</v>
      </c>
      <c r="K86" s="50" t="n">
        <f>F86/$C$18*100</f>
        <v>25</v>
      </c>
      <c r="L86" s="22" t="n">
        <f>SUM(D$23*$G86,D$24*$H86,D$25*$I86,D$26*$J86,D$27*$K86)/100</f>
        <v>7.0623595505617986</v>
      </c>
      <c r="M86" s="22" t="n">
        <f>SUM(E$23*$G86,E$24*$H86,E$25*$I86,E$26*$J86,E$27*$K86)/100</f>
        <v>3.8120636152055853</v>
      </c>
      <c r="N86" s="22" t="n">
        <f>SUM(F$23*$G86,F$24*$H86,F$25*$I86,F$26*$J86,F$27*$K86)/100</f>
        <v>4.7059204922537807</v>
      </c>
      <c r="O86" s="51" t="str">
        <f>IF(COUNTIF(L86:N86,MAX(L86:N86))&gt;1,"Tie",INDEX($L$34:$N$34,1,MATCH(MAX(L86:N86),L86:N86,0)))</f>
        <v>ARUCO</v>
      </c>
    </row>
    <row r="87">
      <c r="A87" s="47" t="s">
        <v>100</v>
      </c>
      <c r="B87" s="53" t="n">
        <f>$C$15</f>
        <v>7</v>
      </c>
      <c r="C87" s="53" t="n">
        <f>$C$13</f>
        <v>6</v>
      </c>
      <c r="D87" s="53" t="n">
        <f>$C$17</f>
        <v>8</v>
      </c>
      <c r="E87" s="53" t="n">
        <f>$C$14</f>
        <v>10</v>
      </c>
      <c r="F87" s="53" t="n">
        <f>$C$16</f>
        <v>9</v>
      </c>
      <c r="G87" s="23" t="n">
        <f>B87/$C$18*100</f>
        <v>17.5</v>
      </c>
      <c r="H87" s="50" t="n">
        <f>C87/$C$18*100</f>
        <v>15</v>
      </c>
      <c r="I87" s="50" t="n">
        <f>D87/$C$18*100</f>
        <v>20</v>
      </c>
      <c r="J87" s="50" t="n">
        <f>E87/$C$18*100</f>
        <v>25</v>
      </c>
      <c r="K87" s="50" t="n">
        <f>F87/$C$18*100</f>
        <v>22.5</v>
      </c>
      <c r="L87" s="22" t="n">
        <f>SUM(D$23*$G87,D$24*$H87,D$25*$I87,D$26*$J87,D$27*$K87)/100</f>
        <v>6.7261235955056176</v>
      </c>
      <c r="M87" s="22" t="n">
        <f>SUM(E$23*$G87,E$24*$H87,E$25*$I87,E$26*$J87,E$27*$K87)/100</f>
        <v>4.2620636152055855</v>
      </c>
      <c r="N87" s="22" t="n">
        <f>SUM(F$23*$G87,F$24*$H87,F$25*$I87,F$26*$J87,F$27*$K87)/100</f>
        <v>4.4945372622273627</v>
      </c>
      <c r="O87" s="51" t="str">
        <f>IF(COUNTIF(L87:N87,MAX(L87:N87))&gt;1,"Tie",INDEX($L$34:$N$34,1,MATCH(MAX(L87:N87),L87:N87,0)))</f>
        <v>ARUCO</v>
      </c>
    </row>
    <row r="88">
      <c r="A88" s="47" t="s">
        <v>101</v>
      </c>
      <c r="B88" s="53" t="n">
        <f>$C$15</f>
        <v>7</v>
      </c>
      <c r="C88" s="53" t="n">
        <f>$C$13</f>
        <v>6</v>
      </c>
      <c r="D88" s="53" t="n">
        <f>$C$17</f>
        <v>8</v>
      </c>
      <c r="E88" s="53" t="n">
        <f>$C$16</f>
        <v>9</v>
      </c>
      <c r="F88" s="53" t="n">
        <f>$C$14</f>
        <v>10</v>
      </c>
      <c r="G88" s="23" t="n">
        <f>B88/$C$18*100</f>
        <v>17.5</v>
      </c>
      <c r="H88" s="50" t="n">
        <f>C88/$C$18*100</f>
        <v>15</v>
      </c>
      <c r="I88" s="50" t="n">
        <f>D88/$C$18*100</f>
        <v>20</v>
      </c>
      <c r="J88" s="50" t="n">
        <f>E88/$C$18*100</f>
        <v>22.5</v>
      </c>
      <c r="K88" s="50" t="n">
        <f>F88/$C$18*100</f>
        <v>25</v>
      </c>
      <c r="L88" s="22" t="n">
        <f>SUM(D$23*$G88,D$24*$H88,D$25*$I88,D$26*$J88,D$27*$K88)/100</f>
        <v>6.8373595505617981</v>
      </c>
      <c r="M88" s="22" t="n">
        <f>SUM(E$23*$G88,E$24*$H88,E$25*$I88,E$26*$J88,E$27*$K88)/100</f>
        <v>4.037063615205585</v>
      </c>
      <c r="N88" s="22" t="n">
        <f>SUM(F$23*$G88,F$24*$H88,F$25*$I88,F$26*$J88,F$27*$K88)/100</f>
        <v>4.6840016480938793</v>
      </c>
      <c r="O88" s="51" t="str">
        <f>IF(COUNTIF(L88:N88,MAX(L88:N88))&gt;1,"Tie",INDEX($L$34:$N$34,1,MATCH(MAX(L88:N88),L88:N88,0)))</f>
        <v>ARUCO</v>
      </c>
    </row>
    <row r="89">
      <c r="A89" s="47" t="s">
        <v>102</v>
      </c>
      <c r="B89" s="53" t="n">
        <f>$C$15</f>
        <v>7</v>
      </c>
      <c r="C89" s="53" t="n">
        <f>$C$14</f>
        <v>10</v>
      </c>
      <c r="D89" s="53" t="n">
        <f>$C$13</f>
        <v>6</v>
      </c>
      <c r="E89" s="53" t="n">
        <f>$C$16</f>
        <v>9</v>
      </c>
      <c r="F89" s="53" t="n">
        <f>$C$17</f>
        <v>8</v>
      </c>
      <c r="G89" s="23" t="n">
        <f>B89/$C$18*100</f>
        <v>17.5</v>
      </c>
      <c r="H89" s="50" t="n">
        <f>C89/$C$18*100</f>
        <v>25</v>
      </c>
      <c r="I89" s="50" t="n">
        <f>D89/$C$18*100</f>
        <v>15</v>
      </c>
      <c r="J89" s="50" t="n">
        <f>E89/$C$18*100</f>
        <v>22.5</v>
      </c>
      <c r="K89" s="50" t="n">
        <f>F89/$C$18*100</f>
        <v>20</v>
      </c>
      <c r="L89" s="22" t="n">
        <f>SUM(D$23*$G89,D$24*$H89,D$25*$I89,D$26*$J89,D$27*$K89)/100</f>
        <v>7.064887640449439</v>
      </c>
      <c r="M89" s="22" t="n">
        <f>SUM(E$23*$G89,E$24*$H89,E$25*$I89,E$26*$J89,E$27*$K89)/100</f>
        <v>4.7117726920093093</v>
      </c>
      <c r="N89" s="22" t="n">
        <f>SUM(F$23*$G89,F$24*$H89,F$25*$I89,F$26*$J89,F$27*$K89)/100</f>
        <v>4.1190927315071111</v>
      </c>
      <c r="O89" s="51" t="str">
        <f>IF(COUNTIF(L89:N89,MAX(L89:N89))&gt;1,"Tie",INDEX($L$34:$N$34,1,MATCH(MAX(L89:N89),L89:N89,0)))</f>
        <v>ARUCO</v>
      </c>
    </row>
    <row r="90">
      <c r="A90" s="47" t="s">
        <v>103</v>
      </c>
      <c r="B90" s="53" t="n">
        <f>$C$15</f>
        <v>7</v>
      </c>
      <c r="C90" s="53" t="n">
        <f>$C$14</f>
        <v>10</v>
      </c>
      <c r="D90" s="53" t="n">
        <f>$C$13</f>
        <v>6</v>
      </c>
      <c r="E90" s="53" t="n">
        <f>$C$17</f>
        <v>8</v>
      </c>
      <c r="F90" s="53" t="n">
        <f>$C$16</f>
        <v>9</v>
      </c>
      <c r="G90" s="23" t="n">
        <f>B90/$C$18*100</f>
        <v>17.5</v>
      </c>
      <c r="H90" s="50" t="n">
        <f>C90/$C$18*100</f>
        <v>25</v>
      </c>
      <c r="I90" s="50" t="n">
        <f>D90/$C$18*100</f>
        <v>15</v>
      </c>
      <c r="J90" s="50" t="n">
        <f>E90/$C$18*100</f>
        <v>20</v>
      </c>
      <c r="K90" s="50" t="n">
        <f>F90/$C$18*100</f>
        <v>22.5</v>
      </c>
      <c r="L90" s="22" t="n">
        <f>SUM(D$23*$G90,D$24*$H90,D$25*$I90,D$26*$J90,D$27*$K90)/100</f>
        <v>7.1761235955056177</v>
      </c>
      <c r="M90" s="22" t="n">
        <f>SUM(E$23*$G90,E$24*$H90,E$25*$I90,E$26*$J90,E$27*$K90)/100</f>
        <v>4.4867726920093087</v>
      </c>
      <c r="N90" s="22" t="n">
        <f>SUM(F$23*$G90,F$24*$H90,F$25*$I90,F$26*$J90,F$27*$K90)/100</f>
        <v>4.3085571173736268</v>
      </c>
      <c r="O90" s="51" t="str">
        <f>IF(COUNTIF(L90:N90,MAX(L90:N90))&gt;1,"Tie",INDEX($L$34:$N$34,1,MATCH(MAX(L90:N90),L90:N90,0)))</f>
        <v>ARUCO</v>
      </c>
    </row>
    <row r="91">
      <c r="A91" s="47" t="s">
        <v>104</v>
      </c>
      <c r="B91" s="53" t="n">
        <f>$C$15</f>
        <v>7</v>
      </c>
      <c r="C91" s="53" t="n">
        <f>$C$14</f>
        <v>10</v>
      </c>
      <c r="D91" s="53" t="n">
        <f>$C$16</f>
        <v>9</v>
      </c>
      <c r="E91" s="53" t="n">
        <f>$C$13</f>
        <v>6</v>
      </c>
      <c r="F91" s="53" t="n">
        <f>$C$17</f>
        <v>8</v>
      </c>
      <c r="G91" s="23" t="n">
        <f>B91/$C$18*100</f>
        <v>17.5</v>
      </c>
      <c r="H91" s="50" t="n">
        <f>C91/$C$18*100</f>
        <v>25</v>
      </c>
      <c r="I91" s="50" t="n">
        <f>D91/$C$18*100</f>
        <v>22.5</v>
      </c>
      <c r="J91" s="50" t="n">
        <f>E91/$C$18*100</f>
        <v>15</v>
      </c>
      <c r="K91" s="50" t="n">
        <f>F91/$C$18*100</f>
        <v>20</v>
      </c>
      <c r="L91" s="22" t="n">
        <f>SUM(D$23*$G91,D$24*$H91,D$25*$I91,D$26*$J91,D$27*$K91)/100</f>
        <v>7.7398876404494388</v>
      </c>
      <c r="M91" s="22" t="n">
        <f>SUM(E$23*$G91,E$24*$H91,E$25*$I91,E$26*$J91,E$27*$K91)/100</f>
        <v>4.0367726920093094</v>
      </c>
      <c r="N91" s="22" t="n">
        <f>SUM(F$23*$G91,F$24*$H91,F$25*$I91,F$26*$J91,F$27*$K91)/100</f>
        <v>4.1848492639868144</v>
      </c>
      <c r="O91" s="51" t="str">
        <f>IF(COUNTIF(L91:N91,MAX(L91:N91))&gt;1,"Tie",INDEX($L$34:$N$34,1,MATCH(MAX(L91:N91),L91:N91,0)))</f>
        <v>ARUCO</v>
      </c>
    </row>
    <row r="92">
      <c r="A92" s="47" t="s">
        <v>105</v>
      </c>
      <c r="B92" s="53" t="n">
        <f>$C$15</f>
        <v>7</v>
      </c>
      <c r="C92" s="53" t="n">
        <f>$C$14</f>
        <v>10</v>
      </c>
      <c r="D92" s="53" t="n">
        <f>$C$16</f>
        <v>9</v>
      </c>
      <c r="E92" s="53" t="n">
        <f>$C$17</f>
        <v>8</v>
      </c>
      <c r="F92" s="53" t="n">
        <f>$C$13</f>
        <v>6</v>
      </c>
      <c r="G92" s="23" t="n">
        <f>B92/$C$18*100</f>
        <v>17.5</v>
      </c>
      <c r="H92" s="50" t="n">
        <f>C92/$C$18*100</f>
        <v>25</v>
      </c>
      <c r="I92" s="50" t="n">
        <f>D92/$C$18*100</f>
        <v>22.5</v>
      </c>
      <c r="J92" s="50" t="n">
        <f>E92/$C$18*100</f>
        <v>20</v>
      </c>
      <c r="K92" s="50" t="n">
        <f>F92/$C$18*100</f>
        <v>15</v>
      </c>
      <c r="L92" s="22" t="n">
        <f>SUM(D$23*$G92,D$24*$H92,D$25*$I92,D$26*$J92,D$27*$K92)/100</f>
        <v>7.5174157303370794</v>
      </c>
      <c r="M92" s="22" t="n">
        <f>SUM(E$23*$G92,E$24*$H92,E$25*$I92,E$26*$J92,E$27*$K92)/100</f>
        <v>4.4867726920093087</v>
      </c>
      <c r="N92" s="22" t="n">
        <f>SUM(F$23*$G92,F$24*$H92,F$25*$I92,F$26*$J92,F$27*$K92)/100</f>
        <v>3.8059204922537808</v>
      </c>
      <c r="O92" s="51" t="str">
        <f>IF(COUNTIF(L92:N92,MAX(L92:N92))&gt;1,"Tie",INDEX($L$34:$N$34,1,MATCH(MAX(L92:N92),L92:N92,0)))</f>
        <v>ARUCO</v>
      </c>
    </row>
    <row r="93">
      <c r="A93" s="47" t="s">
        <v>106</v>
      </c>
      <c r="B93" s="53" t="n">
        <f>$C$15</f>
        <v>7</v>
      </c>
      <c r="C93" s="53" t="n">
        <f>$C$14</f>
        <v>10</v>
      </c>
      <c r="D93" s="53" t="n">
        <f>$C$17</f>
        <v>8</v>
      </c>
      <c r="E93" s="53" t="n">
        <f>$C$13</f>
        <v>6</v>
      </c>
      <c r="F93" s="53" t="n">
        <f>$C$16</f>
        <v>9</v>
      </c>
      <c r="G93" s="23" t="n">
        <f>B93/$C$18*100</f>
        <v>17.5</v>
      </c>
      <c r="H93" s="50" t="n">
        <f>C93/$C$18*100</f>
        <v>25</v>
      </c>
      <c r="I93" s="50" t="n">
        <f>D93/$C$18*100</f>
        <v>20</v>
      </c>
      <c r="J93" s="50" t="n">
        <f>E93/$C$18*100</f>
        <v>15</v>
      </c>
      <c r="K93" s="50" t="n">
        <f>F93/$C$18*100</f>
        <v>22.5</v>
      </c>
      <c r="L93" s="22" t="n">
        <f>SUM(D$23*$G93,D$24*$H93,D$25*$I93,D$26*$J93,D$27*$K93)/100</f>
        <v>7.6261235955056179</v>
      </c>
      <c r="M93" s="22" t="n">
        <f>SUM(E$23*$G93,E$24*$H93,E$25*$I93,E$26*$J93,E$27*$K93)/100</f>
        <v>4.0367726920093094</v>
      </c>
      <c r="N93" s="22" t="n">
        <f>SUM(F$23*$G93,F$24*$H93,F$25*$I93,F$26*$J93,F$27*$K93)/100</f>
        <v>4.3523948056934296</v>
      </c>
      <c r="O93" s="51" t="str">
        <f>IF(COUNTIF(L93:N93,MAX(L93:N93))&gt;1,"Tie",INDEX($L$34:$N$34,1,MATCH(MAX(L93:N93),L93:N93,0)))</f>
        <v>ARUCO</v>
      </c>
    </row>
    <row r="94">
      <c r="A94" s="47" t="s">
        <v>107</v>
      </c>
      <c r="B94" s="53" t="n">
        <f>$C$15</f>
        <v>7</v>
      </c>
      <c r="C94" s="53" t="n">
        <f>$C$14</f>
        <v>10</v>
      </c>
      <c r="D94" s="53" t="n">
        <f>$C$17</f>
        <v>8</v>
      </c>
      <c r="E94" s="53" t="n">
        <f>$C$16</f>
        <v>9</v>
      </c>
      <c r="F94" s="53" t="n">
        <f>$C$13</f>
        <v>6</v>
      </c>
      <c r="G94" s="23" t="n">
        <f>B94/$C$18*100</f>
        <v>17.5</v>
      </c>
      <c r="H94" s="50" t="n">
        <f>C94/$C$18*100</f>
        <v>25</v>
      </c>
      <c r="I94" s="50" t="n">
        <f>D94/$C$18*100</f>
        <v>20</v>
      </c>
      <c r="J94" s="50" t="n">
        <f>E94/$C$18*100</f>
        <v>22.5</v>
      </c>
      <c r="K94" s="50" t="n">
        <f>F94/$C$18*100</f>
        <v>15</v>
      </c>
      <c r="L94" s="22" t="n">
        <f>SUM(D$23*$G94,D$24*$H94,D$25*$I94,D$26*$J94,D$27*$K94)/100</f>
        <v>7.2924157303370789</v>
      </c>
      <c r="M94" s="22" t="n">
        <f>SUM(E$23*$G94,E$24*$H94,E$25*$I94,E$26*$J94,E$27*$K94)/100</f>
        <v>4.7117726920093093</v>
      </c>
      <c r="N94" s="22" t="n">
        <f>SUM(F$23*$G94,F$24*$H94,F$25*$I94,F$26*$J94,F$27*$K94)/100</f>
        <v>3.7840016480938794</v>
      </c>
      <c r="O94" s="51" t="str">
        <f>IF(COUNTIF(L94:N94,MAX(L94:N94))&gt;1,"Tie",INDEX($L$34:$N$34,1,MATCH(MAX(L94:N94),L94:N94,0)))</f>
        <v>ARUCO</v>
      </c>
    </row>
    <row r="95">
      <c r="A95" s="47" t="s">
        <v>108</v>
      </c>
      <c r="B95" s="53" t="n">
        <f>$C$15</f>
        <v>7</v>
      </c>
      <c r="C95" s="53" t="n">
        <f>$C$16</f>
        <v>9</v>
      </c>
      <c r="D95" s="53" t="n">
        <f>$C$13</f>
        <v>6</v>
      </c>
      <c r="E95" s="53" t="n">
        <f>$C$14</f>
        <v>10</v>
      </c>
      <c r="F95" s="53" t="n">
        <f>$C$17</f>
        <v>8</v>
      </c>
      <c r="G95" s="23" t="n">
        <f>B95/$C$18*100</f>
        <v>17.5</v>
      </c>
      <c r="H95" s="50" t="n">
        <f>C95/$C$18*100</f>
        <v>22.5</v>
      </c>
      <c r="I95" s="50" t="n">
        <f>D95/$C$18*100</f>
        <v>15</v>
      </c>
      <c r="J95" s="50" t="n">
        <f>E95/$C$18*100</f>
        <v>25</v>
      </c>
      <c r="K95" s="50" t="n">
        <f>F95/$C$18*100</f>
        <v>20</v>
      </c>
      <c r="L95" s="22" t="n">
        <f>SUM(D$23*$G95,D$24*$H95,D$25*$I95,D$26*$J95,D$27*$K95)/100</f>
        <v>6.8398876404494384</v>
      </c>
      <c r="M95" s="22" t="n">
        <f>SUM(E$23*$G95,E$24*$H95,E$25*$I95,E$26*$J95,E$27*$K95)/100</f>
        <v>4.7680954228083774</v>
      </c>
      <c r="N95" s="22" t="n">
        <f>SUM(F$23*$G95,F$24*$H95,F$25*$I95,F$26*$J95,F$27*$K95)/100</f>
        <v>4.1546283456405941</v>
      </c>
      <c r="O95" s="51" t="str">
        <f>IF(COUNTIF(L95:N95,MAX(L95:N95))&gt;1,"Tie",INDEX($L$34:$N$34,1,MATCH(MAX(L95:N95),L95:N95,0)))</f>
        <v>ARUCO</v>
      </c>
    </row>
    <row r="96">
      <c r="A96" s="47" t="s">
        <v>109</v>
      </c>
      <c r="B96" s="53" t="n">
        <f>$C$15</f>
        <v>7</v>
      </c>
      <c r="C96" s="53" t="n">
        <f>$C$16</f>
        <v>9</v>
      </c>
      <c r="D96" s="53" t="n">
        <f>$C$13</f>
        <v>6</v>
      </c>
      <c r="E96" s="53" t="n">
        <f>$C$17</f>
        <v>8</v>
      </c>
      <c r="F96" s="53" t="n">
        <f>$C$14</f>
        <v>10</v>
      </c>
      <c r="G96" s="23" t="n">
        <f>B96/$C$18*100</f>
        <v>17.5</v>
      </c>
      <c r="H96" s="50" t="n">
        <f>C96/$C$18*100</f>
        <v>22.5</v>
      </c>
      <c r="I96" s="50" t="n">
        <f>D96/$C$18*100</f>
        <v>15</v>
      </c>
      <c r="J96" s="50" t="n">
        <f>E96/$C$18*100</f>
        <v>20</v>
      </c>
      <c r="K96" s="50" t="n">
        <f>F96/$C$18*100</f>
        <v>25</v>
      </c>
      <c r="L96" s="22" t="n">
        <f>SUM(D$23*$G96,D$24*$H96,D$25*$I96,D$26*$J96,D$27*$K96)/100</f>
        <v>7.0623595505617986</v>
      </c>
      <c r="M96" s="22" t="n">
        <f>SUM(E$23*$G96,E$24*$H96,E$25*$I96,E$26*$J96,E$27*$K96)/100</f>
        <v>4.3180954228083781</v>
      </c>
      <c r="N96" s="22" t="n">
        <f>SUM(F$23*$G96,F$24*$H96,F$25*$I96,F$26*$J96,F$27*$K96)/100</f>
        <v>4.5335571173736273</v>
      </c>
      <c r="O96" s="51" t="str">
        <f>IF(COUNTIF(L96:N96,MAX(L96:N96))&gt;1,"Tie",INDEX($L$34:$N$34,1,MATCH(MAX(L96:N96),L96:N96,0)))</f>
        <v>ARUCO</v>
      </c>
    </row>
    <row r="97">
      <c r="A97" s="47" t="s">
        <v>110</v>
      </c>
      <c r="B97" s="53" t="n">
        <f>$C$15</f>
        <v>7</v>
      </c>
      <c r="C97" s="53" t="n">
        <f>$C$16</f>
        <v>9</v>
      </c>
      <c r="D97" s="53" t="n">
        <f>$C$14</f>
        <v>10</v>
      </c>
      <c r="E97" s="53" t="n">
        <f>$C$13</f>
        <v>6</v>
      </c>
      <c r="F97" s="53" t="n">
        <f>$C$17</f>
        <v>8</v>
      </c>
      <c r="G97" s="23" t="n">
        <f>B97/$C$18*100</f>
        <v>17.5</v>
      </c>
      <c r="H97" s="50" t="n">
        <f>C97/$C$18*100</f>
        <v>22.5</v>
      </c>
      <c r="I97" s="50" t="n">
        <f>D97/$C$18*100</f>
        <v>25</v>
      </c>
      <c r="J97" s="50" t="n">
        <f>E97/$C$18*100</f>
        <v>15</v>
      </c>
      <c r="K97" s="50" t="n">
        <f>F97/$C$18*100</f>
        <v>20</v>
      </c>
      <c r="L97" s="22" t="n">
        <f>SUM(D$23*$G97,D$24*$H97,D$25*$I97,D$26*$J97,D$27*$K97)/100</f>
        <v>7.7398876404494388</v>
      </c>
      <c r="M97" s="22" t="n">
        <f>SUM(E$23*$G97,E$24*$H97,E$25*$I97,E$26*$J97,E$27*$K97)/100</f>
        <v>3.8680954228083779</v>
      </c>
      <c r="N97" s="22" t="n">
        <f>SUM(F$23*$G97,F$24*$H97,F$25*$I97,F$26*$J97,F$27*$K97)/100</f>
        <v>4.2423037222801989</v>
      </c>
      <c r="O97" s="51" t="str">
        <f>IF(COUNTIF(L97:N97,MAX(L97:N97))&gt;1,"Tie",INDEX($L$34:$N$34,1,MATCH(MAX(L97:N97),L97:N97,0)))</f>
        <v>ARUCO</v>
      </c>
    </row>
    <row r="98">
      <c r="A98" s="47" t="s">
        <v>111</v>
      </c>
      <c r="B98" s="53" t="n">
        <f>$C$15</f>
        <v>7</v>
      </c>
      <c r="C98" s="53" t="n">
        <f>$C$16</f>
        <v>9</v>
      </c>
      <c r="D98" s="53" t="n">
        <f>$C$14</f>
        <v>10</v>
      </c>
      <c r="E98" s="53" t="n">
        <f>$C$17</f>
        <v>8</v>
      </c>
      <c r="F98" s="53" t="n">
        <f>$C$13</f>
        <v>6</v>
      </c>
      <c r="G98" s="23" t="n">
        <f>B98/$C$18*100</f>
        <v>17.5</v>
      </c>
      <c r="H98" s="50" t="n">
        <f>C98/$C$18*100</f>
        <v>22.5</v>
      </c>
      <c r="I98" s="50" t="n">
        <f>D98/$C$18*100</f>
        <v>25</v>
      </c>
      <c r="J98" s="50" t="n">
        <f>E98/$C$18*100</f>
        <v>20</v>
      </c>
      <c r="K98" s="50" t="n">
        <f>F98/$C$18*100</f>
        <v>15</v>
      </c>
      <c r="L98" s="22" t="n">
        <f>SUM(D$23*$G98,D$24*$H98,D$25*$I98,D$26*$J98,D$27*$K98)/100</f>
        <v>7.5174157303370794</v>
      </c>
      <c r="M98" s="22" t="n">
        <f>SUM(E$23*$G98,E$24*$H98,E$25*$I98,E$26*$J98,E$27*$K98)/100</f>
        <v>4.3180954228083781</v>
      </c>
      <c r="N98" s="22" t="n">
        <f>SUM(F$23*$G98,F$24*$H98,F$25*$I98,F$26*$J98,F$27*$K98)/100</f>
        <v>3.8633749505471657</v>
      </c>
      <c r="O98" s="51" t="str">
        <f>IF(COUNTIF(L98:N98,MAX(L98:N98))&gt;1,"Tie",INDEX($L$34:$N$34,1,MATCH(MAX(L98:N98),L98:N98,0)))</f>
        <v>ARUCO</v>
      </c>
    </row>
    <row r="99">
      <c r="A99" s="47" t="s">
        <v>112</v>
      </c>
      <c r="B99" s="53" t="n">
        <f>$C$15</f>
        <v>7</v>
      </c>
      <c r="C99" s="53" t="n">
        <f>$C$16</f>
        <v>9</v>
      </c>
      <c r="D99" s="53" t="n">
        <f>$C$17</f>
        <v>8</v>
      </c>
      <c r="E99" s="53" t="n">
        <f>$C$13</f>
        <v>6</v>
      </c>
      <c r="F99" s="53" t="n">
        <f>$C$14</f>
        <v>10</v>
      </c>
      <c r="G99" s="23" t="n">
        <f>B99/$C$18*100</f>
        <v>17.5</v>
      </c>
      <c r="H99" s="50" t="n">
        <f>C99/$C$18*100</f>
        <v>22.5</v>
      </c>
      <c r="I99" s="50" t="n">
        <f>D99/$C$18*100</f>
        <v>20</v>
      </c>
      <c r="J99" s="50" t="n">
        <f>E99/$C$18*100</f>
        <v>15</v>
      </c>
      <c r="K99" s="50" t="n">
        <f>F99/$C$18*100</f>
        <v>25</v>
      </c>
      <c r="L99" s="22" t="n">
        <f>SUM(D$23*$G99,D$24*$H99,D$25*$I99,D$26*$J99,D$27*$K99)/100</f>
        <v>7.5123595505617988</v>
      </c>
      <c r="M99" s="22" t="n">
        <f>SUM(E$23*$G99,E$24*$H99,E$25*$I99,E$26*$J99,E$27*$K99)/100</f>
        <v>3.8680954228083779</v>
      </c>
      <c r="N99" s="22" t="n">
        <f>SUM(F$23*$G99,F$24*$H99,F$25*$I99,F$26*$J99,F$27*$K99)/100</f>
        <v>4.5773948056934293</v>
      </c>
      <c r="O99" s="51" t="str">
        <f>IF(COUNTIF(L99:N99,MAX(L99:N99))&gt;1,"Tie",INDEX($L$34:$N$34,1,MATCH(MAX(L99:N99),L99:N99,0)))</f>
        <v>ARUCO</v>
      </c>
    </row>
    <row r="100">
      <c r="A100" s="47" t="s">
        <v>113</v>
      </c>
      <c r="B100" s="53" t="n">
        <f>$C$15</f>
        <v>7</v>
      </c>
      <c r="C100" s="53" t="n">
        <f>$C$16</f>
        <v>9</v>
      </c>
      <c r="D100" s="53" t="n">
        <f>$C$17</f>
        <v>8</v>
      </c>
      <c r="E100" s="53" t="n">
        <f>$C$14</f>
        <v>10</v>
      </c>
      <c r="F100" s="53" t="n">
        <f>$C$13</f>
        <v>6</v>
      </c>
      <c r="G100" s="23" t="n">
        <f>B100/$C$18*100</f>
        <v>17.5</v>
      </c>
      <c r="H100" s="50" t="n">
        <f>C100/$C$18*100</f>
        <v>22.5</v>
      </c>
      <c r="I100" s="50" t="n">
        <f>D100/$C$18*100</f>
        <v>20</v>
      </c>
      <c r="J100" s="50" t="n">
        <f>E100/$C$18*100</f>
        <v>25</v>
      </c>
      <c r="K100" s="50" t="n">
        <f>F100/$C$18*100</f>
        <v>15</v>
      </c>
      <c r="L100" s="22" t="n">
        <f>SUM(D$23*$G100,D$24*$H100,D$25*$I100,D$26*$J100,D$27*$K100)/100</f>
        <v>7.0674157303370793</v>
      </c>
      <c r="M100" s="22" t="n">
        <f>SUM(E$23*$G100,E$24*$H100,E$25*$I100,E$26*$J100,E$27*$K100)/100</f>
        <v>4.7680954228083774</v>
      </c>
      <c r="N100" s="22" t="n">
        <f>SUM(F$23*$G100,F$24*$H100,F$25*$I100,F$26*$J100,F$27*$K100)/100</f>
        <v>3.8195372622273625</v>
      </c>
      <c r="O100" s="51" t="str">
        <f>IF(COUNTIF(L100:N100,MAX(L100:N100))&gt;1,"Tie",INDEX($L$34:$N$34,1,MATCH(MAX(L100:N100),L100:N100,0)))</f>
        <v>ARUCO</v>
      </c>
    </row>
    <row r="101">
      <c r="A101" s="47" t="s">
        <v>114</v>
      </c>
      <c r="B101" s="53" t="n">
        <f>$C$15</f>
        <v>7</v>
      </c>
      <c r="C101" s="53" t="n">
        <f>$C$17</f>
        <v>8</v>
      </c>
      <c r="D101" s="53" t="n">
        <f>$C$13</f>
        <v>6</v>
      </c>
      <c r="E101" s="53" t="n">
        <f>$C$14</f>
        <v>10</v>
      </c>
      <c r="F101" s="53" t="n">
        <f>$C$16</f>
        <v>9</v>
      </c>
      <c r="G101" s="23" t="n">
        <f>B101/$C$18*100</f>
        <v>17.5</v>
      </c>
      <c r="H101" s="50" t="n">
        <f>C101/$C$18*100</f>
        <v>20</v>
      </c>
      <c r="I101" s="50" t="n">
        <f>D101/$C$18*100</f>
        <v>15</v>
      </c>
      <c r="J101" s="50" t="n">
        <f>E101/$C$18*100</f>
        <v>25</v>
      </c>
      <c r="K101" s="50" t="n">
        <f>F101/$C$18*100</f>
        <v>22.5</v>
      </c>
      <c r="L101" s="22" t="n">
        <f>SUM(D$23*$G101,D$24*$H101,D$25*$I101,D$26*$J101,D$27*$K101)/100</f>
        <v>6.7261235955056176</v>
      </c>
      <c r="M101" s="22" t="n">
        <f>SUM(E$23*$G101,E$24*$H101,E$25*$I101,E$26*$J101,E$27*$K101)/100</f>
        <v>4.5994181536074468</v>
      </c>
      <c r="N101" s="22" t="n">
        <f>SUM(F$23*$G101,F$24*$H101,F$25*$I101,F$26*$J101,F$27*$K101)/100</f>
        <v>4.3796283456405938</v>
      </c>
      <c r="O101" s="51" t="str">
        <f>IF(COUNTIF(L101:N101,MAX(L101:N101))&gt;1,"Tie",INDEX($L$34:$N$34,1,MATCH(MAX(L101:N101),L101:N101,0)))</f>
        <v>ARUCO</v>
      </c>
    </row>
    <row r="102">
      <c r="A102" s="47" t="s">
        <v>115</v>
      </c>
      <c r="B102" s="53" t="n">
        <f>$C$15</f>
        <v>7</v>
      </c>
      <c r="C102" s="53" t="n">
        <f>$C$17</f>
        <v>8</v>
      </c>
      <c r="D102" s="53" t="n">
        <f>$C$13</f>
        <v>6</v>
      </c>
      <c r="E102" s="53" t="n">
        <f>$C$16</f>
        <v>9</v>
      </c>
      <c r="F102" s="53" t="n">
        <f>$C$14</f>
        <v>10</v>
      </c>
      <c r="G102" s="23" t="n">
        <f>B102/$C$18*100</f>
        <v>17.5</v>
      </c>
      <c r="H102" s="50" t="n">
        <f>C102/$C$18*100</f>
        <v>20</v>
      </c>
      <c r="I102" s="50" t="n">
        <f>D102/$C$18*100</f>
        <v>15</v>
      </c>
      <c r="J102" s="50" t="n">
        <f>E102/$C$18*100</f>
        <v>22.5</v>
      </c>
      <c r="K102" s="50" t="n">
        <f>F102/$C$18*100</f>
        <v>25</v>
      </c>
      <c r="L102" s="22" t="n">
        <f>SUM(D$23*$G102,D$24*$H102,D$25*$I102,D$26*$J102,D$27*$K102)/100</f>
        <v>6.8373595505617981</v>
      </c>
      <c r="M102" s="22" t="n">
        <f>SUM(E$23*$G102,E$24*$H102,E$25*$I102,E$26*$J102,E$27*$K102)/100</f>
        <v>4.3744181536074471</v>
      </c>
      <c r="N102" s="22" t="n">
        <f>SUM(F$23*$G102,F$24*$H102,F$25*$I102,F$26*$J102,F$27*$K102)/100</f>
        <v>4.5690927315071104</v>
      </c>
      <c r="O102" s="51" t="str">
        <f>IF(COUNTIF(L102:N102,MAX(L102:N102))&gt;1,"Tie",INDEX($L$34:$N$34,1,MATCH(MAX(L102:N102),L102:N102,0)))</f>
        <v>ARUCO</v>
      </c>
    </row>
    <row r="103">
      <c r="A103" s="47" t="s">
        <v>116</v>
      </c>
      <c r="B103" s="53" t="n">
        <f>$C$15</f>
        <v>7</v>
      </c>
      <c r="C103" s="53" t="n">
        <f>$C$17</f>
        <v>8</v>
      </c>
      <c r="D103" s="53" t="n">
        <f>$C$14</f>
        <v>10</v>
      </c>
      <c r="E103" s="53" t="n">
        <f>$C$13</f>
        <v>6</v>
      </c>
      <c r="F103" s="53" t="n">
        <f>$C$16</f>
        <v>9</v>
      </c>
      <c r="G103" s="23" t="n">
        <f>B103/$C$18*100</f>
        <v>17.5</v>
      </c>
      <c r="H103" s="50" t="n">
        <f>C103/$C$18*100</f>
        <v>20</v>
      </c>
      <c r="I103" s="50" t="n">
        <f>D103/$C$18*100</f>
        <v>25</v>
      </c>
      <c r="J103" s="50" t="n">
        <f>E103/$C$18*100</f>
        <v>15</v>
      </c>
      <c r="K103" s="50" t="n">
        <f>F103/$C$18*100</f>
        <v>22.5</v>
      </c>
      <c r="L103" s="22" t="n">
        <f>SUM(D$23*$G103,D$24*$H103,D$25*$I103,D$26*$J103,D$27*$K103)/100</f>
        <v>7.6261235955056179</v>
      </c>
      <c r="M103" s="22" t="n">
        <f>SUM(E$23*$G103,E$24*$H103,E$25*$I103,E$26*$J103,E$27*$K103)/100</f>
        <v>3.6994181536074473</v>
      </c>
      <c r="N103" s="22" t="n">
        <f>SUM(F$23*$G103,F$24*$H103,F$25*$I103,F$26*$J103,F$27*$K103)/100</f>
        <v>4.4673037222801986</v>
      </c>
      <c r="O103" s="51" t="str">
        <f>IF(COUNTIF(L103:N103,MAX(L103:N103))&gt;1,"Tie",INDEX($L$34:$N$34,1,MATCH(MAX(L103:N103),L103:N103,0)))</f>
        <v>ARUCO</v>
      </c>
    </row>
    <row r="104">
      <c r="A104" s="47" t="s">
        <v>117</v>
      </c>
      <c r="B104" s="53" t="n">
        <f>$C$15</f>
        <v>7</v>
      </c>
      <c r="C104" s="53" t="n">
        <f>$C$17</f>
        <v>8</v>
      </c>
      <c r="D104" s="53" t="n">
        <f>$C$14</f>
        <v>10</v>
      </c>
      <c r="E104" s="53" t="n">
        <f>$C$16</f>
        <v>9</v>
      </c>
      <c r="F104" s="53" t="n">
        <f>$C$13</f>
        <v>6</v>
      </c>
      <c r="G104" s="23" t="n">
        <f>B104/$C$18*100</f>
        <v>17.5</v>
      </c>
      <c r="H104" s="50" t="n">
        <f>C104/$C$18*100</f>
        <v>20</v>
      </c>
      <c r="I104" s="50" t="n">
        <f>D104/$C$18*100</f>
        <v>25</v>
      </c>
      <c r="J104" s="50" t="n">
        <f>E104/$C$18*100</f>
        <v>22.5</v>
      </c>
      <c r="K104" s="50" t="n">
        <f>F104/$C$18*100</f>
        <v>15</v>
      </c>
      <c r="L104" s="22" t="n">
        <f>SUM(D$23*$G104,D$24*$H104,D$25*$I104,D$26*$J104,D$27*$K104)/100</f>
        <v>7.2924157303370789</v>
      </c>
      <c r="M104" s="22" t="n">
        <f>SUM(E$23*$G104,E$24*$H104,E$25*$I104,E$26*$J104,E$27*$K104)/100</f>
        <v>4.3744181536074471</v>
      </c>
      <c r="N104" s="22" t="n">
        <f>SUM(F$23*$G104,F$24*$H104,F$25*$I104,F$26*$J104,F$27*$K104)/100</f>
        <v>3.8989105646806488</v>
      </c>
      <c r="O104" s="51" t="str">
        <f>IF(COUNTIF(L104:N104,MAX(L104:N104))&gt;1,"Tie",INDEX($L$34:$N$34,1,MATCH(MAX(L104:N104),L104:N104,0)))</f>
        <v>ARUCO</v>
      </c>
    </row>
    <row r="105">
      <c r="A105" s="47" t="s">
        <v>118</v>
      </c>
      <c r="B105" s="53" t="n">
        <f>$C$15</f>
        <v>7</v>
      </c>
      <c r="C105" s="53" t="n">
        <f>$C$17</f>
        <v>8</v>
      </c>
      <c r="D105" s="53" t="n">
        <f>$C$16</f>
        <v>9</v>
      </c>
      <c r="E105" s="53" t="n">
        <f>$C$13</f>
        <v>6</v>
      </c>
      <c r="F105" s="53" t="n">
        <f>$C$14</f>
        <v>10</v>
      </c>
      <c r="G105" s="23" t="n">
        <f>B105/$C$18*100</f>
        <v>17.5</v>
      </c>
      <c r="H105" s="50" t="n">
        <f>C105/$C$18*100</f>
        <v>20</v>
      </c>
      <c r="I105" s="50" t="n">
        <f>D105/$C$18*100</f>
        <v>22.5</v>
      </c>
      <c r="J105" s="50" t="n">
        <f>E105/$C$18*100</f>
        <v>15</v>
      </c>
      <c r="K105" s="50" t="n">
        <f>F105/$C$18*100</f>
        <v>25</v>
      </c>
      <c r="L105" s="22" t="n">
        <f>SUM(D$23*$G105,D$24*$H105,D$25*$I105,D$26*$J105,D$27*$K105)/100</f>
        <v>7.5123595505617988</v>
      </c>
      <c r="M105" s="22" t="n">
        <f>SUM(E$23*$G105,E$24*$H105,E$25*$I105,E$26*$J105,E$27*$K105)/100</f>
        <v>3.6994181536074473</v>
      </c>
      <c r="N105" s="22" t="n">
        <f>SUM(F$23*$G105,F$24*$H105,F$25*$I105,F$26*$J105,F$27*$K105)/100</f>
        <v>4.6348492639868137</v>
      </c>
      <c r="O105" s="51" t="str">
        <f>IF(COUNTIF(L105:N105,MAX(L105:N105))&gt;1,"Tie",INDEX($L$34:$N$34,1,MATCH(MAX(L105:N105),L105:N105,0)))</f>
        <v>ARUCO</v>
      </c>
    </row>
    <row r="106">
      <c r="A106" s="47" t="s">
        <v>119</v>
      </c>
      <c r="B106" s="53" t="n">
        <f>$C$15</f>
        <v>7</v>
      </c>
      <c r="C106" s="53" t="n">
        <f>$C$17</f>
        <v>8</v>
      </c>
      <c r="D106" s="53" t="n">
        <f>$C$16</f>
        <v>9</v>
      </c>
      <c r="E106" s="53" t="n">
        <f>$C$14</f>
        <v>10</v>
      </c>
      <c r="F106" s="53" t="n">
        <f>$C$13</f>
        <v>6</v>
      </c>
      <c r="G106" s="23" t="n">
        <f>B106/$C$18*100</f>
        <v>17.5</v>
      </c>
      <c r="H106" s="50" t="n">
        <f>C106/$C$18*100</f>
        <v>20</v>
      </c>
      <c r="I106" s="50" t="n">
        <f>D106/$C$18*100</f>
        <v>22.5</v>
      </c>
      <c r="J106" s="50" t="n">
        <f>E106/$C$18*100</f>
        <v>25</v>
      </c>
      <c r="K106" s="50" t="n">
        <f>F106/$C$18*100</f>
        <v>15</v>
      </c>
      <c r="L106" s="22" t="n">
        <f>SUM(D$23*$G106,D$24*$H106,D$25*$I106,D$26*$J106,D$27*$K106)/100</f>
        <v>7.0674157303370793</v>
      </c>
      <c r="M106" s="22" t="n">
        <f>SUM(E$23*$G106,E$24*$H106,E$25*$I106,E$26*$J106,E$27*$K106)/100</f>
        <v>4.5994181536074468</v>
      </c>
      <c r="N106" s="22" t="n">
        <f>SUM(F$23*$G106,F$24*$H106,F$25*$I106,F$26*$J106,F$27*$K106)/100</f>
        <v>3.8769917205207469</v>
      </c>
      <c r="O106" s="51" t="str">
        <f>IF(COUNTIF(L106:N106,MAX(L106:N106))&gt;1,"Tie",INDEX($L$34:$N$34,1,MATCH(MAX(L106:N106),L106:N106,0)))</f>
        <v>ARUCO</v>
      </c>
    </row>
    <row r="107">
      <c r="A107" s="47" t="s">
        <v>120</v>
      </c>
      <c r="B107" s="53" t="n">
        <f>$C$16</f>
        <v>9</v>
      </c>
      <c r="C107" s="53" t="n">
        <f>$C$13</f>
        <v>6</v>
      </c>
      <c r="D107" s="53" t="n">
        <f>$C$14</f>
        <v>10</v>
      </c>
      <c r="E107" s="53" t="n">
        <f>$C$15</f>
        <v>7</v>
      </c>
      <c r="F107" s="53" t="n">
        <f>$C$17</f>
        <v>8</v>
      </c>
      <c r="G107" s="23" t="n">
        <f>B107/$C$18*100</f>
        <v>22.5</v>
      </c>
      <c r="H107" s="50" t="n">
        <f>C107/$C$18*100</f>
        <v>15</v>
      </c>
      <c r="I107" s="50" t="n">
        <f>D107/$C$18*100</f>
        <v>25</v>
      </c>
      <c r="J107" s="50" t="n">
        <f>E107/$C$18*100</f>
        <v>17.5</v>
      </c>
      <c r="K107" s="50" t="n">
        <f>F107/$C$18*100</f>
        <v>20</v>
      </c>
      <c r="L107" s="22" t="n">
        <f>SUM(D$23*$G107,D$24*$H107,D$25*$I107,D$26*$J107,D$27*$K107)/100</f>
        <v>7.5148876404494391</v>
      </c>
      <c r="M107" s="22" t="n">
        <f>SUM(E$23*$G107,E$24*$H107,E$25*$I107,E$26*$J107,E$27*$K107)/100</f>
        <v>3.5870636152055853</v>
      </c>
      <c r="N107" s="22" t="n">
        <f>SUM(F$23*$G107,F$24*$H107,F$25*$I107,F$26*$J107,F$27*$K107)/100</f>
        <v>4.464852323426669</v>
      </c>
      <c r="O107" s="51" t="str">
        <f>IF(COUNTIF(L107:N107,MAX(L107:N107))&gt;1,"Tie",INDEX($L$34:$N$34,1,MATCH(MAX(L107:N107),L107:N107,0)))</f>
        <v>ARUCO</v>
      </c>
    </row>
    <row r="108">
      <c r="A108" s="47" t="s">
        <v>121</v>
      </c>
      <c r="B108" s="53" t="n">
        <f>$C$16</f>
        <v>9</v>
      </c>
      <c r="C108" s="53" t="n">
        <f>$C$13</f>
        <v>6</v>
      </c>
      <c r="D108" s="53" t="n">
        <f>$C$14</f>
        <v>10</v>
      </c>
      <c r="E108" s="53" t="n">
        <f>$C$17</f>
        <v>8</v>
      </c>
      <c r="F108" s="53" t="n">
        <f>$C$15</f>
        <v>7</v>
      </c>
      <c r="G108" s="23" t="n">
        <f>B108/$C$18*100</f>
        <v>22.5</v>
      </c>
      <c r="H108" s="50" t="n">
        <f>C108/$C$18*100</f>
        <v>15</v>
      </c>
      <c r="I108" s="50" t="n">
        <f>D108/$C$18*100</f>
        <v>25</v>
      </c>
      <c r="J108" s="50" t="n">
        <f>E108/$C$18*100</f>
        <v>20</v>
      </c>
      <c r="K108" s="50" t="n">
        <f>F108/$C$18*100</f>
        <v>17.5</v>
      </c>
      <c r="L108" s="22" t="n">
        <f>SUM(D$23*$G108,D$24*$H108,D$25*$I108,D$26*$J108,D$27*$K108)/100</f>
        <v>7.4036516853932586</v>
      </c>
      <c r="M108" s="22" t="n">
        <f>SUM(E$23*$G108,E$24*$H108,E$25*$I108,E$26*$J108,E$27*$K108)/100</f>
        <v>3.8120636152055853</v>
      </c>
      <c r="N108" s="22" t="n">
        <f>SUM(F$23*$G108,F$24*$H108,F$25*$I108,F$26*$J108,F$27*$K108)/100</f>
        <v>4.2753879375601525</v>
      </c>
      <c r="O108" s="51" t="str">
        <f>IF(COUNTIF(L108:N108,MAX(L108:N108))&gt;1,"Tie",INDEX($L$34:$N$34,1,MATCH(MAX(L108:N108),L108:N108,0)))</f>
        <v>ARUCO</v>
      </c>
    </row>
    <row r="109">
      <c r="A109" s="47" t="s">
        <v>122</v>
      </c>
      <c r="B109" s="53" t="n">
        <f>$C$16</f>
        <v>9</v>
      </c>
      <c r="C109" s="53" t="n">
        <f>$C$13</f>
        <v>6</v>
      </c>
      <c r="D109" s="53" t="n">
        <f>$C$15</f>
        <v>7</v>
      </c>
      <c r="E109" s="53" t="n">
        <f>$C$14</f>
        <v>10</v>
      </c>
      <c r="F109" s="53" t="n">
        <f>$C$17</f>
        <v>8</v>
      </c>
      <c r="G109" s="23" t="n">
        <f>B109/$C$18*100</f>
        <v>22.5</v>
      </c>
      <c r="H109" s="50" t="n">
        <f>C109/$C$18*100</f>
        <v>15</v>
      </c>
      <c r="I109" s="50" t="n">
        <f>D109/$C$18*100</f>
        <v>17.5</v>
      </c>
      <c r="J109" s="50" t="n">
        <f>E109/$C$18*100</f>
        <v>25</v>
      </c>
      <c r="K109" s="50" t="n">
        <f>F109/$C$18*100</f>
        <v>20</v>
      </c>
      <c r="L109" s="22" t="n">
        <f>SUM(D$23*$G109,D$24*$H109,D$25*$I109,D$26*$J109,D$27*$K109)/100</f>
        <v>6.8398876404494384</v>
      </c>
      <c r="M109" s="22" t="n">
        <f>SUM(E$23*$G109,E$24*$H109,E$25*$I109,E$26*$J109,E$27*$K109)/100</f>
        <v>4.2620636152055855</v>
      </c>
      <c r="N109" s="22" t="n">
        <f>SUM(F$23*$G109,F$24*$H109,F$25*$I109,F$26*$J109,F$27*$K109)/100</f>
        <v>4.3990957909469648</v>
      </c>
      <c r="O109" s="51" t="str">
        <f>IF(COUNTIF(L109:N109,MAX(L109:N109))&gt;1,"Tie",INDEX($L$34:$N$34,1,MATCH(MAX(L109:N109),L109:N109,0)))</f>
        <v>ARUCO</v>
      </c>
    </row>
    <row r="110">
      <c r="A110" s="47" t="s">
        <v>123</v>
      </c>
      <c r="B110" s="53" t="n">
        <f>$C$16</f>
        <v>9</v>
      </c>
      <c r="C110" s="53" t="n">
        <f>$C$13</f>
        <v>6</v>
      </c>
      <c r="D110" s="53" t="n">
        <f>$C$15</f>
        <v>7</v>
      </c>
      <c r="E110" s="53" t="n">
        <f>$C$17</f>
        <v>8</v>
      </c>
      <c r="F110" s="53" t="n">
        <f>$C$14</f>
        <v>10</v>
      </c>
      <c r="G110" s="23" t="n">
        <f>B110/$C$18*100</f>
        <v>22.5</v>
      </c>
      <c r="H110" s="50" t="n">
        <f>C110/$C$18*100</f>
        <v>15</v>
      </c>
      <c r="I110" s="50" t="n">
        <f>D110/$C$18*100</f>
        <v>17.5</v>
      </c>
      <c r="J110" s="50" t="n">
        <f>E110/$C$18*100</f>
        <v>20</v>
      </c>
      <c r="K110" s="50" t="n">
        <f>F110/$C$18*100</f>
        <v>25</v>
      </c>
      <c r="L110" s="22" t="n">
        <f>SUM(D$23*$G110,D$24*$H110,D$25*$I110,D$26*$J110,D$27*$K110)/100</f>
        <v>7.0623595505617986</v>
      </c>
      <c r="M110" s="22" t="n">
        <f>SUM(E$23*$G110,E$24*$H110,E$25*$I110,E$26*$J110,E$27*$K110)/100</f>
        <v>3.8120636152055853</v>
      </c>
      <c r="N110" s="22" t="n">
        <f>SUM(F$23*$G110,F$24*$H110,F$25*$I110,F$26*$J110,F$27*$K110)/100</f>
        <v>4.7780245626799989</v>
      </c>
      <c r="O110" s="51" t="str">
        <f>IF(COUNTIF(L110:N110,MAX(L110:N110))&gt;1,"Tie",INDEX($L$34:$N$34,1,MATCH(MAX(L110:N110),L110:N110,0)))</f>
        <v>ARUCO</v>
      </c>
    </row>
    <row r="111">
      <c r="A111" s="47" t="s">
        <v>124</v>
      </c>
      <c r="B111" s="53" t="n">
        <f>$C$16</f>
        <v>9</v>
      </c>
      <c r="C111" s="53" t="n">
        <f>$C$13</f>
        <v>6</v>
      </c>
      <c r="D111" s="53" t="n">
        <f>$C$17</f>
        <v>8</v>
      </c>
      <c r="E111" s="53" t="n">
        <f>$C$14</f>
        <v>10</v>
      </c>
      <c r="F111" s="53" t="n">
        <f>$C$15</f>
        <v>7</v>
      </c>
      <c r="G111" s="23" t="n">
        <f>B111/$C$18*100</f>
        <v>22.5</v>
      </c>
      <c r="H111" s="50" t="n">
        <f>C111/$C$18*100</f>
        <v>15</v>
      </c>
      <c r="I111" s="50" t="n">
        <f>D111/$C$18*100</f>
        <v>20</v>
      </c>
      <c r="J111" s="50" t="n">
        <f>E111/$C$18*100</f>
        <v>25</v>
      </c>
      <c r="K111" s="50" t="n">
        <f>F111/$C$18*100</f>
        <v>17.5</v>
      </c>
      <c r="L111" s="22" t="n">
        <f>SUM(D$23*$G111,D$24*$H111,D$25*$I111,D$26*$J111,D$27*$K111)/100</f>
        <v>6.9536516853932584</v>
      </c>
      <c r="M111" s="22" t="n">
        <f>SUM(E$23*$G111,E$24*$H111,E$25*$I111,E$26*$J111,E$27*$K111)/100</f>
        <v>4.2620636152055855</v>
      </c>
      <c r="N111" s="22" t="n">
        <f>SUM(F$23*$G111,F$24*$H111,F$25*$I111,F$26*$J111,F$27*$K111)/100</f>
        <v>4.2315502492403496</v>
      </c>
      <c r="O111" s="51" t="str">
        <f>IF(COUNTIF(L111:N111,MAX(L111:N111))&gt;1,"Tie",INDEX($L$34:$N$34,1,MATCH(MAX(L111:N111),L111:N111,0)))</f>
        <v>ARUCO</v>
      </c>
    </row>
    <row r="112">
      <c r="A112" s="47" t="s">
        <v>125</v>
      </c>
      <c r="B112" s="53" t="n">
        <f>$C$16</f>
        <v>9</v>
      </c>
      <c r="C112" s="53" t="n">
        <f>$C$13</f>
        <v>6</v>
      </c>
      <c r="D112" s="53" t="n">
        <f>$C$17</f>
        <v>8</v>
      </c>
      <c r="E112" s="53" t="n">
        <f>$C$15</f>
        <v>7</v>
      </c>
      <c r="F112" s="53" t="n">
        <f>$C$14</f>
        <v>10</v>
      </c>
      <c r="G112" s="23" t="n">
        <f>B112/$C$18*100</f>
        <v>22.5</v>
      </c>
      <c r="H112" s="50" t="n">
        <f>C112/$C$18*100</f>
        <v>15</v>
      </c>
      <c r="I112" s="50" t="n">
        <f>D112/$C$18*100</f>
        <v>20</v>
      </c>
      <c r="J112" s="50" t="n">
        <f>E112/$C$18*100</f>
        <v>17.5</v>
      </c>
      <c r="K112" s="50" t="n">
        <f>F112/$C$18*100</f>
        <v>25</v>
      </c>
      <c r="L112" s="22" t="n">
        <f>SUM(D$23*$G112,D$24*$H112,D$25*$I112,D$26*$J112,D$27*$K112)/100</f>
        <v>7.2873595505617983</v>
      </c>
      <c r="M112" s="22" t="n">
        <f>SUM(E$23*$G112,E$24*$H112,E$25*$I112,E$26*$J112,E$27*$K112)/100</f>
        <v>3.5870636152055853</v>
      </c>
      <c r="N112" s="22" t="n">
        <f>SUM(F$23*$G112,F$24*$H112,F$25*$I112,F$26*$J112,F$27*$K112)/100</f>
        <v>4.7999434068398994</v>
      </c>
      <c r="O112" s="51" t="str">
        <f>IF(COUNTIF(L112:N112,MAX(L112:N112))&gt;1,"Tie",INDEX($L$34:$N$34,1,MATCH(MAX(L112:N112),L112:N112,0)))</f>
        <v>ARUCO</v>
      </c>
    </row>
    <row r="113">
      <c r="A113" s="47" t="s">
        <v>126</v>
      </c>
      <c r="B113" s="53" t="n">
        <f>$C$16</f>
        <v>9</v>
      </c>
      <c r="C113" s="53" t="n">
        <f>$C$14</f>
        <v>10</v>
      </c>
      <c r="D113" s="53" t="n">
        <f>$C$13</f>
        <v>6</v>
      </c>
      <c r="E113" s="53" t="n">
        <f>$C$15</f>
        <v>7</v>
      </c>
      <c r="F113" s="53" t="n">
        <f>$C$17</f>
        <v>8</v>
      </c>
      <c r="G113" s="23" t="n">
        <f>B113/$C$18*100</f>
        <v>22.5</v>
      </c>
      <c r="H113" s="50" t="n">
        <f>C113/$C$18*100</f>
        <v>25</v>
      </c>
      <c r="I113" s="50" t="n">
        <f>D113/$C$18*100</f>
        <v>15</v>
      </c>
      <c r="J113" s="50" t="n">
        <f>E113/$C$18*100</f>
        <v>17.5</v>
      </c>
      <c r="K113" s="50" t="n">
        <f>F113/$C$18*100</f>
        <v>20</v>
      </c>
      <c r="L113" s="22" t="n">
        <f>SUM(D$23*$G113,D$24*$H113,D$25*$I113,D$26*$J113,D$27*$K113)/100</f>
        <v>7.5148876404494391</v>
      </c>
      <c r="M113" s="22" t="n">
        <f>SUM(E$23*$G113,E$24*$H113,E$25*$I113,E$26*$J113,E$27*$K113)/100</f>
        <v>4.2617726920093091</v>
      </c>
      <c r="N113" s="22" t="n">
        <f>SUM(F$23*$G113,F$24*$H113,F$25*$I113,F$26*$J113,F$27*$K113)/100</f>
        <v>4.2350344902531312</v>
      </c>
      <c r="O113" s="51" t="str">
        <f>IF(COUNTIF(L113:N113,MAX(L113:N113))&gt;1,"Tie",INDEX($L$34:$N$34,1,MATCH(MAX(L113:N113),L113:N113,0)))</f>
        <v>ARUCO</v>
      </c>
    </row>
    <row r="114">
      <c r="A114" s="47" t="s">
        <v>127</v>
      </c>
      <c r="B114" s="53" t="n">
        <f>$C$16</f>
        <v>9</v>
      </c>
      <c r="C114" s="53" t="n">
        <f>$C$14</f>
        <v>10</v>
      </c>
      <c r="D114" s="53" t="n">
        <f>$C$13</f>
        <v>6</v>
      </c>
      <c r="E114" s="53" t="n">
        <f>$C$17</f>
        <v>8</v>
      </c>
      <c r="F114" s="53" t="n">
        <f>$C$15</f>
        <v>7</v>
      </c>
      <c r="G114" s="23" t="n">
        <f>B114/$C$18*100</f>
        <v>22.5</v>
      </c>
      <c r="H114" s="50" t="n">
        <f>C114/$C$18*100</f>
        <v>25</v>
      </c>
      <c r="I114" s="50" t="n">
        <f>D114/$C$18*100</f>
        <v>15</v>
      </c>
      <c r="J114" s="50" t="n">
        <f>E114/$C$18*100</f>
        <v>20</v>
      </c>
      <c r="K114" s="50" t="n">
        <f>F114/$C$18*100</f>
        <v>17.5</v>
      </c>
      <c r="L114" s="22" t="n">
        <f>SUM(D$23*$G114,D$24*$H114,D$25*$I114,D$26*$J114,D$27*$K114)/100</f>
        <v>7.4036516853932586</v>
      </c>
      <c r="M114" s="22" t="n">
        <f>SUM(E$23*$G114,E$24*$H114,E$25*$I114,E$26*$J114,E$27*$K114)/100</f>
        <v>4.4867726920093087</v>
      </c>
      <c r="N114" s="22" t="n">
        <f>SUM(F$23*$G114,F$24*$H114,F$25*$I114,F$26*$J114,F$27*$K114)/100</f>
        <v>4.0455701043866146</v>
      </c>
      <c r="O114" s="51" t="str">
        <f>IF(COUNTIF(L114:N114,MAX(L114:N114))&gt;1,"Tie",INDEX($L$34:$N$34,1,MATCH(MAX(L114:N114),L114:N114,0)))</f>
        <v>ARUCO</v>
      </c>
    </row>
    <row r="115">
      <c r="A115" s="47" t="s">
        <v>128</v>
      </c>
      <c r="B115" s="53" t="n">
        <f>$C$16</f>
        <v>9</v>
      </c>
      <c r="C115" s="53" t="n">
        <f>$C$14</f>
        <v>10</v>
      </c>
      <c r="D115" s="53" t="n">
        <f>$C$15</f>
        <v>7</v>
      </c>
      <c r="E115" s="53" t="n">
        <f>$C$13</f>
        <v>6</v>
      </c>
      <c r="F115" s="53" t="n">
        <f>$C$17</f>
        <v>8</v>
      </c>
      <c r="G115" s="23" t="n">
        <f>B115/$C$18*100</f>
        <v>22.5</v>
      </c>
      <c r="H115" s="50" t="n">
        <f>C115/$C$18*100</f>
        <v>25</v>
      </c>
      <c r="I115" s="50" t="n">
        <f>D115/$C$18*100</f>
        <v>17.5</v>
      </c>
      <c r="J115" s="50" t="n">
        <f>E115/$C$18*100</f>
        <v>15</v>
      </c>
      <c r="K115" s="50" t="n">
        <f>F115/$C$18*100</f>
        <v>20</v>
      </c>
      <c r="L115" s="22" t="n">
        <f>SUM(D$23*$G115,D$24*$H115,D$25*$I115,D$26*$J115,D$27*$K115)/100</f>
        <v>7.7398876404494388</v>
      </c>
      <c r="M115" s="22" t="n">
        <f>SUM(E$23*$G115,E$24*$H115,E$25*$I115,E$26*$J115,E$27*$K115)/100</f>
        <v>4.0367726920093094</v>
      </c>
      <c r="N115" s="22" t="n">
        <f>SUM(F$23*$G115,F$24*$H115,F$25*$I115,F$26*$J115,F$27*$K115)/100</f>
        <v>4.2569533344130317</v>
      </c>
      <c r="O115" s="51" t="str">
        <f>IF(COUNTIF(L115:N115,MAX(L115:N115))&gt;1,"Tie",INDEX($L$34:$N$34,1,MATCH(MAX(L115:N115),L115:N115,0)))</f>
        <v>ARUCO</v>
      </c>
    </row>
    <row r="116">
      <c r="A116" s="47" t="s">
        <v>129</v>
      </c>
      <c r="B116" s="53" t="n">
        <f>$C$16</f>
        <v>9</v>
      </c>
      <c r="C116" s="53" t="n">
        <f>$C$14</f>
        <v>10</v>
      </c>
      <c r="D116" s="53" t="n">
        <f>$C$15</f>
        <v>7</v>
      </c>
      <c r="E116" s="53" t="n">
        <f>$C$17</f>
        <v>8</v>
      </c>
      <c r="F116" s="53" t="n">
        <f>$C$13</f>
        <v>6</v>
      </c>
      <c r="G116" s="23" t="n">
        <f>B116/$C$18*100</f>
        <v>22.5</v>
      </c>
      <c r="H116" s="50" t="n">
        <f>C116/$C$18*100</f>
        <v>25</v>
      </c>
      <c r="I116" s="50" t="n">
        <f>D116/$C$18*100</f>
        <v>17.5</v>
      </c>
      <c r="J116" s="50" t="n">
        <f>E116/$C$18*100</f>
        <v>20</v>
      </c>
      <c r="K116" s="50" t="n">
        <f>F116/$C$18*100</f>
        <v>15</v>
      </c>
      <c r="L116" s="22" t="n">
        <f>SUM(D$23*$G116,D$24*$H116,D$25*$I116,D$26*$J116,D$27*$K116)/100</f>
        <v>7.5174157303370794</v>
      </c>
      <c r="M116" s="22" t="n">
        <f>SUM(E$23*$G116,E$24*$H116,E$25*$I116,E$26*$J116,E$27*$K116)/100</f>
        <v>4.4867726920093087</v>
      </c>
      <c r="N116" s="22" t="n">
        <f>SUM(F$23*$G116,F$24*$H116,F$25*$I116,F$26*$J116,F$27*$K116)/100</f>
        <v>3.878024562679999</v>
      </c>
      <c r="O116" s="51" t="str">
        <f>IF(COUNTIF(L116:N116,MAX(L116:N116))&gt;1,"Tie",INDEX($L$34:$N$34,1,MATCH(MAX(L116:N116),L116:N116,0)))</f>
        <v>ARUCO</v>
      </c>
    </row>
    <row r="117">
      <c r="A117" s="47" t="s">
        <v>130</v>
      </c>
      <c r="B117" s="53" t="n">
        <f>$C$16</f>
        <v>9</v>
      </c>
      <c r="C117" s="53" t="n">
        <f>$C$14</f>
        <v>10</v>
      </c>
      <c r="D117" s="53" t="n">
        <f>$C$17</f>
        <v>8</v>
      </c>
      <c r="E117" s="53" t="n">
        <f>$C$13</f>
        <v>6</v>
      </c>
      <c r="F117" s="53" t="n">
        <f>$C$15</f>
        <v>7</v>
      </c>
      <c r="G117" s="23" t="n">
        <f>B117/$C$18*100</f>
        <v>22.5</v>
      </c>
      <c r="H117" s="50" t="n">
        <f>C117/$C$18*100</f>
        <v>25</v>
      </c>
      <c r="I117" s="50" t="n">
        <f>D117/$C$18*100</f>
        <v>20</v>
      </c>
      <c r="J117" s="50" t="n">
        <f>E117/$C$18*100</f>
        <v>15</v>
      </c>
      <c r="K117" s="50" t="n">
        <f>F117/$C$18*100</f>
        <v>17.5</v>
      </c>
      <c r="L117" s="22" t="n">
        <f>SUM(D$23*$G117,D$24*$H117,D$25*$I117,D$26*$J117,D$27*$K117)/100</f>
        <v>7.8536516853932579</v>
      </c>
      <c r="M117" s="22" t="n">
        <f>SUM(E$23*$G117,E$24*$H117,E$25*$I117,E$26*$J117,E$27*$K117)/100</f>
        <v>4.0367726920093094</v>
      </c>
      <c r="N117" s="22" t="n">
        <f>SUM(F$23*$G117,F$24*$H117,F$25*$I117,F$26*$J117,F$27*$K117)/100</f>
        <v>4.0894077927064165</v>
      </c>
      <c r="O117" s="51" t="str">
        <f>IF(COUNTIF(L117:N117,MAX(L117:N117))&gt;1,"Tie",INDEX($L$34:$N$34,1,MATCH(MAX(L117:N117),L117:N117,0)))</f>
        <v>ARUCO</v>
      </c>
    </row>
    <row r="118">
      <c r="A118" s="47" t="s">
        <v>131</v>
      </c>
      <c r="B118" s="53" t="n">
        <f>$C$16</f>
        <v>9</v>
      </c>
      <c r="C118" s="53" t="n">
        <f>$C$14</f>
        <v>10</v>
      </c>
      <c r="D118" s="53" t="n">
        <f>$C$17</f>
        <v>8</v>
      </c>
      <c r="E118" s="53" t="n">
        <f>$C$15</f>
        <v>7</v>
      </c>
      <c r="F118" s="53" t="n">
        <f>$C$13</f>
        <v>6</v>
      </c>
      <c r="G118" s="23" t="n">
        <f>B118/$C$18*100</f>
        <v>22.5</v>
      </c>
      <c r="H118" s="50" t="n">
        <f>C118/$C$18*100</f>
        <v>25</v>
      </c>
      <c r="I118" s="50" t="n">
        <f>D118/$C$18*100</f>
        <v>20</v>
      </c>
      <c r="J118" s="50" t="n">
        <f>E118/$C$18*100</f>
        <v>17.5</v>
      </c>
      <c r="K118" s="50" t="n">
        <f>F118/$C$18*100</f>
        <v>15</v>
      </c>
      <c r="L118" s="22" t="n">
        <f>SUM(D$23*$G118,D$24*$H118,D$25*$I118,D$26*$J118,D$27*$K118)/100</f>
        <v>7.7424157303370791</v>
      </c>
      <c r="M118" s="22" t="n">
        <f>SUM(E$23*$G118,E$24*$H118,E$25*$I118,E$26*$J118,E$27*$K118)/100</f>
        <v>4.2617726920093091</v>
      </c>
      <c r="N118" s="22" t="n">
        <f>SUM(F$23*$G118,F$24*$H118,F$25*$I118,F$26*$J118,F$27*$K118)/100</f>
        <v>3.8999434068398999</v>
      </c>
      <c r="O118" s="51" t="str">
        <f>IF(COUNTIF(L118:N118,MAX(L118:N118))&gt;1,"Tie",INDEX($L$34:$N$34,1,MATCH(MAX(L118:N118),L118:N118,0)))</f>
        <v>ARUCO</v>
      </c>
    </row>
    <row r="119">
      <c r="A119" s="47" t="s">
        <v>132</v>
      </c>
      <c r="B119" s="53" t="n">
        <f>$C$16</f>
        <v>9</v>
      </c>
      <c r="C119" s="53" t="n">
        <f>$C$15</f>
        <v>7</v>
      </c>
      <c r="D119" s="53" t="n">
        <f>$C$13</f>
        <v>6</v>
      </c>
      <c r="E119" s="53" t="n">
        <f>$C$14</f>
        <v>10</v>
      </c>
      <c r="F119" s="53" t="n">
        <f>$C$17</f>
        <v>8</v>
      </c>
      <c r="G119" s="23" t="n">
        <f>B119/$C$18*100</f>
        <v>22.5</v>
      </c>
      <c r="H119" s="50" t="n">
        <f>C119/$C$18*100</f>
        <v>17.5</v>
      </c>
      <c r="I119" s="50" t="n">
        <f>D119/$C$18*100</f>
        <v>15</v>
      </c>
      <c r="J119" s="50" t="n">
        <f>E119/$C$18*100</f>
        <v>25</v>
      </c>
      <c r="K119" s="50" t="n">
        <f>F119/$C$18*100</f>
        <v>20</v>
      </c>
      <c r="L119" s="22" t="n">
        <f>SUM(D$23*$G119,D$24*$H119,D$25*$I119,D$26*$J119,D$27*$K119)/100</f>
        <v>6.8398876404494384</v>
      </c>
      <c r="M119" s="22" t="n">
        <f>SUM(E$23*$G119,E$24*$H119,E$25*$I119,E$26*$J119,E$27*$K119)/100</f>
        <v>4.4307408844065161</v>
      </c>
      <c r="N119" s="22" t="n">
        <f>SUM(F$23*$G119,F$24*$H119,F$25*$I119,F$26*$J119,F$27*$K119)/100</f>
        <v>4.3416413326535803</v>
      </c>
      <c r="O119" s="51" t="str">
        <f>IF(COUNTIF(L119:N119,MAX(L119:N119))&gt;1,"Tie",INDEX($L$34:$N$34,1,MATCH(MAX(L119:N119),L119:N119,0)))</f>
        <v>ARUCO</v>
      </c>
    </row>
    <row r="120">
      <c r="A120" s="47" t="s">
        <v>133</v>
      </c>
      <c r="B120" s="53" t="n">
        <f>$C$16</f>
        <v>9</v>
      </c>
      <c r="C120" s="53" t="n">
        <f>$C$15</f>
        <v>7</v>
      </c>
      <c r="D120" s="53" t="n">
        <f>$C$13</f>
        <v>6</v>
      </c>
      <c r="E120" s="53" t="n">
        <f>$C$17</f>
        <v>8</v>
      </c>
      <c r="F120" s="53" t="n">
        <f>$C$14</f>
        <v>10</v>
      </c>
      <c r="G120" s="23" t="n">
        <f>B120/$C$18*100</f>
        <v>22.5</v>
      </c>
      <c r="H120" s="50" t="n">
        <f>C120/$C$18*100</f>
        <v>17.5</v>
      </c>
      <c r="I120" s="50" t="n">
        <f>D120/$C$18*100</f>
        <v>15</v>
      </c>
      <c r="J120" s="50" t="n">
        <f>E120/$C$18*100</f>
        <v>20</v>
      </c>
      <c r="K120" s="50" t="n">
        <f>F120/$C$18*100</f>
        <v>25</v>
      </c>
      <c r="L120" s="22" t="n">
        <f>SUM(D$23*$G120,D$24*$H120,D$25*$I120,D$26*$J120,D$27*$K120)/100</f>
        <v>7.0623595505617986</v>
      </c>
      <c r="M120" s="22" t="n">
        <f>SUM(E$23*$G120,E$24*$H120,E$25*$I120,E$26*$J120,E$27*$K120)/100</f>
        <v>3.9807408844065164</v>
      </c>
      <c r="N120" s="22" t="n">
        <f>SUM(F$23*$G120,F$24*$H120,F$25*$I120,F$26*$J120,F$27*$K120)/100</f>
        <v>4.7205701043866144</v>
      </c>
      <c r="O120" s="51" t="str">
        <f>IF(COUNTIF(L120:N120,MAX(L120:N120))&gt;1,"Tie",INDEX($L$34:$N$34,1,MATCH(MAX(L120:N120),L120:N120,0)))</f>
        <v>ARUCO</v>
      </c>
    </row>
    <row r="121">
      <c r="A121" s="47" t="s">
        <v>134</v>
      </c>
      <c r="B121" s="53" t="n">
        <f>$C$16</f>
        <v>9</v>
      </c>
      <c r="C121" s="53" t="n">
        <f>$C$15</f>
        <v>7</v>
      </c>
      <c r="D121" s="53" t="n">
        <f>$C$14</f>
        <v>10</v>
      </c>
      <c r="E121" s="53" t="n">
        <f>$C$13</f>
        <v>6</v>
      </c>
      <c r="F121" s="53" t="n">
        <f>$C$17</f>
        <v>8</v>
      </c>
      <c r="G121" s="23" t="n">
        <f>B121/$C$18*100</f>
        <v>22.5</v>
      </c>
      <c r="H121" s="50" t="n">
        <f>C121/$C$18*100</f>
        <v>17.5</v>
      </c>
      <c r="I121" s="50" t="n">
        <f>D121/$C$18*100</f>
        <v>25</v>
      </c>
      <c r="J121" s="50" t="n">
        <f>E121/$C$18*100</f>
        <v>15</v>
      </c>
      <c r="K121" s="50" t="n">
        <f>F121/$C$18*100</f>
        <v>20</v>
      </c>
      <c r="L121" s="22" t="n">
        <f>SUM(D$23*$G121,D$24*$H121,D$25*$I121,D$26*$J121,D$27*$K121)/100</f>
        <v>7.7398876404494388</v>
      </c>
      <c r="M121" s="22" t="n">
        <f>SUM(E$23*$G121,E$24*$H121,E$25*$I121,E$26*$J121,E$27*$K121)/100</f>
        <v>3.5307408844065167</v>
      </c>
      <c r="N121" s="22" t="n">
        <f>SUM(F$23*$G121,F$24*$H121,F$25*$I121,F$26*$J121,F$27*$K121)/100</f>
        <v>4.4293167092931851</v>
      </c>
      <c r="O121" s="51" t="str">
        <f>IF(COUNTIF(L121:N121,MAX(L121:N121))&gt;1,"Tie",INDEX($L$34:$N$34,1,MATCH(MAX(L121:N121),L121:N121,0)))</f>
        <v>ARUCO</v>
      </c>
    </row>
    <row r="122">
      <c r="A122" s="47" t="s">
        <v>135</v>
      </c>
      <c r="B122" s="53" t="n">
        <f>$C$16</f>
        <v>9</v>
      </c>
      <c r="C122" s="53" t="n">
        <f>$C$15</f>
        <v>7</v>
      </c>
      <c r="D122" s="53" t="n">
        <f>$C$14</f>
        <v>10</v>
      </c>
      <c r="E122" s="53" t="n">
        <f>$C$17</f>
        <v>8</v>
      </c>
      <c r="F122" s="53" t="n">
        <f>$C$13</f>
        <v>6</v>
      </c>
      <c r="G122" s="23" t="n">
        <f>B122/$C$18*100</f>
        <v>22.5</v>
      </c>
      <c r="H122" s="50" t="n">
        <f>C122/$C$18*100</f>
        <v>17.5</v>
      </c>
      <c r="I122" s="50" t="n">
        <f>D122/$C$18*100</f>
        <v>25</v>
      </c>
      <c r="J122" s="50" t="n">
        <f>E122/$C$18*100</f>
        <v>20</v>
      </c>
      <c r="K122" s="50" t="n">
        <f>F122/$C$18*100</f>
        <v>15</v>
      </c>
      <c r="L122" s="22" t="n">
        <f>SUM(D$23*$G122,D$24*$H122,D$25*$I122,D$26*$J122,D$27*$K122)/100</f>
        <v>7.5174157303370794</v>
      </c>
      <c r="M122" s="22" t="n">
        <f>SUM(E$23*$G122,E$24*$H122,E$25*$I122,E$26*$J122,E$27*$K122)/100</f>
        <v>3.9807408844065164</v>
      </c>
      <c r="N122" s="22" t="n">
        <f>SUM(F$23*$G122,F$24*$H122,F$25*$I122,F$26*$J122,F$27*$K122)/100</f>
        <v>4.0503879375601519</v>
      </c>
      <c r="O122" s="51" t="str">
        <f>IF(COUNTIF(L122:N122,MAX(L122:N122))&gt;1,"Tie",INDEX($L$34:$N$34,1,MATCH(MAX(L122:N122),L122:N122,0)))</f>
        <v>ARUCO</v>
      </c>
    </row>
    <row r="123">
      <c r="A123" s="47" t="s">
        <v>136</v>
      </c>
      <c r="B123" s="53" t="n">
        <f>$C$16</f>
        <v>9</v>
      </c>
      <c r="C123" s="53" t="n">
        <f>$C$15</f>
        <v>7</v>
      </c>
      <c r="D123" s="53" t="n">
        <f>$C$17</f>
        <v>8</v>
      </c>
      <c r="E123" s="53" t="n">
        <f>$C$13</f>
        <v>6</v>
      </c>
      <c r="F123" s="53" t="n">
        <f>$C$14</f>
        <v>10</v>
      </c>
      <c r="G123" s="23" t="n">
        <f>B123/$C$18*100</f>
        <v>22.5</v>
      </c>
      <c r="H123" s="50" t="n">
        <f>C123/$C$18*100</f>
        <v>17.5</v>
      </c>
      <c r="I123" s="50" t="n">
        <f>D123/$C$18*100</f>
        <v>20</v>
      </c>
      <c r="J123" s="50" t="n">
        <f>E123/$C$18*100</f>
        <v>15</v>
      </c>
      <c r="K123" s="50" t="n">
        <f>F123/$C$18*100</f>
        <v>25</v>
      </c>
      <c r="L123" s="22" t="n">
        <f>SUM(D$23*$G123,D$24*$H123,D$25*$I123,D$26*$J123,D$27*$K123)/100</f>
        <v>7.5123595505617988</v>
      </c>
      <c r="M123" s="22" t="n">
        <f>SUM(E$23*$G123,E$24*$H123,E$25*$I123,E$26*$J123,E$27*$K123)/100</f>
        <v>3.5307408844065167</v>
      </c>
      <c r="N123" s="22" t="n">
        <f>SUM(F$23*$G123,F$24*$H123,F$25*$I123,F$26*$J123,F$27*$K123)/100</f>
        <v>4.7644077927064163</v>
      </c>
      <c r="O123" s="51" t="str">
        <f>IF(COUNTIF(L123:N123,MAX(L123:N123))&gt;1,"Tie",INDEX($L$34:$N$34,1,MATCH(MAX(L123:N123),L123:N123,0)))</f>
        <v>ARUCO</v>
      </c>
    </row>
    <row r="124">
      <c r="A124" s="47" t="s">
        <v>137</v>
      </c>
      <c r="B124" s="53" t="n">
        <f>$C$16</f>
        <v>9</v>
      </c>
      <c r="C124" s="53" t="n">
        <f>$C$15</f>
        <v>7</v>
      </c>
      <c r="D124" s="53" t="n">
        <f>$C$17</f>
        <v>8</v>
      </c>
      <c r="E124" s="53" t="n">
        <f>$C$14</f>
        <v>10</v>
      </c>
      <c r="F124" s="53" t="n">
        <f>$C$13</f>
        <v>6</v>
      </c>
      <c r="G124" s="23" t="n">
        <f>B124/$C$18*100</f>
        <v>22.5</v>
      </c>
      <c r="H124" s="50" t="n">
        <f>C124/$C$18*100</f>
        <v>17.5</v>
      </c>
      <c r="I124" s="50" t="n">
        <f>D124/$C$18*100</f>
        <v>20</v>
      </c>
      <c r="J124" s="50" t="n">
        <f>E124/$C$18*100</f>
        <v>25</v>
      </c>
      <c r="K124" s="50" t="n">
        <f>F124/$C$18*100</f>
        <v>15</v>
      </c>
      <c r="L124" s="22" t="n">
        <f>SUM(D$23*$G124,D$24*$H124,D$25*$I124,D$26*$J124,D$27*$K124)/100</f>
        <v>7.0674157303370793</v>
      </c>
      <c r="M124" s="22" t="n">
        <f>SUM(E$23*$G124,E$24*$H124,E$25*$I124,E$26*$J124,E$27*$K124)/100</f>
        <v>4.4307408844065161</v>
      </c>
      <c r="N124" s="22" t="n">
        <f>SUM(F$23*$G124,F$24*$H124,F$25*$I124,F$26*$J124,F$27*$K124)/100</f>
        <v>4.00655024924035</v>
      </c>
      <c r="O124" s="51" t="str">
        <f>IF(COUNTIF(L124:N124,MAX(L124:N124))&gt;1,"Tie",INDEX($L$34:$N$34,1,MATCH(MAX(L124:N124),L124:N124,0)))</f>
        <v>ARUCO</v>
      </c>
    </row>
    <row r="125">
      <c r="A125" s="47" t="s">
        <v>138</v>
      </c>
      <c r="B125" s="53" t="n">
        <f>$C$16</f>
        <v>9</v>
      </c>
      <c r="C125" s="53" t="n">
        <f>$C$17</f>
        <v>8</v>
      </c>
      <c r="D125" s="53" t="n">
        <f>$C$13</f>
        <v>6</v>
      </c>
      <c r="E125" s="53" t="n">
        <f>$C$14</f>
        <v>10</v>
      </c>
      <c r="F125" s="53" t="n">
        <f>$C$15</f>
        <v>7</v>
      </c>
      <c r="G125" s="23" t="n">
        <f>B125/$C$18*100</f>
        <v>22.5</v>
      </c>
      <c r="H125" s="50" t="n">
        <f>C125/$C$18*100</f>
        <v>20</v>
      </c>
      <c r="I125" s="50" t="n">
        <f>D125/$C$18*100</f>
        <v>15</v>
      </c>
      <c r="J125" s="50" t="n">
        <f>E125/$C$18*100</f>
        <v>25</v>
      </c>
      <c r="K125" s="50" t="n">
        <f>F125/$C$18*100</f>
        <v>17.5</v>
      </c>
      <c r="L125" s="22" t="n">
        <f>SUM(D$23*$G125,D$24*$H125,D$25*$I125,D$26*$J125,D$27*$K125)/100</f>
        <v>6.9536516853932584</v>
      </c>
      <c r="M125" s="22" t="n">
        <f>SUM(E$23*$G125,E$24*$H125,E$25*$I125,E$26*$J125,E$27*$K125)/100</f>
        <v>4.5994181536074468</v>
      </c>
      <c r="N125" s="22" t="n">
        <f>SUM(F$23*$G125,F$24*$H125,F$25*$I125,F$26*$J125,F$27*$K125)/100</f>
        <v>4.1166413326535807</v>
      </c>
      <c r="O125" s="51" t="str">
        <f>IF(COUNTIF(L125:N125,MAX(L125:N125))&gt;1,"Tie",INDEX($L$34:$N$34,1,MATCH(MAX(L125:N125),L125:N125,0)))</f>
        <v>ARUCO</v>
      </c>
    </row>
    <row r="126">
      <c r="A126" s="47" t="s">
        <v>139</v>
      </c>
      <c r="B126" s="53" t="n">
        <f>$C$16</f>
        <v>9</v>
      </c>
      <c r="C126" s="53" t="n">
        <f>$C$17</f>
        <v>8</v>
      </c>
      <c r="D126" s="53" t="n">
        <f>$C$13</f>
        <v>6</v>
      </c>
      <c r="E126" s="53" t="n">
        <f>$C$15</f>
        <v>7</v>
      </c>
      <c r="F126" s="53" t="n">
        <f>$C$14</f>
        <v>10</v>
      </c>
      <c r="G126" s="23" t="n">
        <f>B126/$C$18*100</f>
        <v>22.5</v>
      </c>
      <c r="H126" s="50" t="n">
        <f>C126/$C$18*100</f>
        <v>20</v>
      </c>
      <c r="I126" s="50" t="n">
        <f>D126/$C$18*100</f>
        <v>15</v>
      </c>
      <c r="J126" s="50" t="n">
        <f>E126/$C$18*100</f>
        <v>17.5</v>
      </c>
      <c r="K126" s="50" t="n">
        <f>F126/$C$18*100</f>
        <v>25</v>
      </c>
      <c r="L126" s="22" t="n">
        <f>SUM(D$23*$G126,D$24*$H126,D$25*$I126,D$26*$J126,D$27*$K126)/100</f>
        <v>7.2873595505617983</v>
      </c>
      <c r="M126" s="22" t="n">
        <f>SUM(E$23*$G126,E$24*$H126,E$25*$I126,E$26*$J126,E$27*$K126)/100</f>
        <v>3.9244181536074469</v>
      </c>
      <c r="N126" s="22" t="n">
        <f>SUM(F$23*$G126,F$24*$H126,F$25*$I126,F$26*$J126,F$27*$K126)/100</f>
        <v>4.6850344902531313</v>
      </c>
      <c r="O126" s="51" t="str">
        <f>IF(COUNTIF(L126:N126,MAX(L126:N126))&gt;1,"Tie",INDEX($L$34:$N$34,1,MATCH(MAX(L126:N126),L126:N126,0)))</f>
        <v>ARUCO</v>
      </c>
    </row>
    <row r="127">
      <c r="A127" s="47" t="s">
        <v>140</v>
      </c>
      <c r="B127" s="53" t="n">
        <f>$C$16</f>
        <v>9</v>
      </c>
      <c r="C127" s="53" t="n">
        <f>$C$17</f>
        <v>8</v>
      </c>
      <c r="D127" s="53" t="n">
        <f>$C$14</f>
        <v>10</v>
      </c>
      <c r="E127" s="53" t="n">
        <f>$C$13</f>
        <v>6</v>
      </c>
      <c r="F127" s="53" t="n">
        <f>$C$15</f>
        <v>7</v>
      </c>
      <c r="G127" s="23" t="n">
        <f>B127/$C$18*100</f>
        <v>22.5</v>
      </c>
      <c r="H127" s="50" t="n">
        <f>C127/$C$18*100</f>
        <v>20</v>
      </c>
      <c r="I127" s="50" t="n">
        <f>D127/$C$18*100</f>
        <v>25</v>
      </c>
      <c r="J127" s="50" t="n">
        <f>E127/$C$18*100</f>
        <v>15</v>
      </c>
      <c r="K127" s="50" t="n">
        <f>F127/$C$18*100</f>
        <v>17.5</v>
      </c>
      <c r="L127" s="22" t="n">
        <f>SUM(D$23*$G127,D$24*$H127,D$25*$I127,D$26*$J127,D$27*$K127)/100</f>
        <v>7.8536516853932579</v>
      </c>
      <c r="M127" s="22" t="n">
        <f>SUM(E$23*$G127,E$24*$H127,E$25*$I127,E$26*$J127,E$27*$K127)/100</f>
        <v>3.6994181536074473</v>
      </c>
      <c r="N127" s="22" t="n">
        <f>SUM(F$23*$G127,F$24*$H127,F$25*$I127,F$26*$J127,F$27*$K127)/100</f>
        <v>4.2043167092931855</v>
      </c>
      <c r="O127" s="51" t="str">
        <f>IF(COUNTIF(L127:N127,MAX(L127:N127))&gt;1,"Tie",INDEX($L$34:$N$34,1,MATCH(MAX(L127:N127),L127:N127,0)))</f>
        <v>ARUCO</v>
      </c>
    </row>
    <row r="128">
      <c r="A128" s="47" t="s">
        <v>141</v>
      </c>
      <c r="B128" s="53" t="n">
        <f>$C$16</f>
        <v>9</v>
      </c>
      <c r="C128" s="53" t="n">
        <f>$C$17</f>
        <v>8</v>
      </c>
      <c r="D128" s="53" t="n">
        <f>$C$14</f>
        <v>10</v>
      </c>
      <c r="E128" s="53" t="n">
        <f>$C$15</f>
        <v>7</v>
      </c>
      <c r="F128" s="53" t="n">
        <f>$C$13</f>
        <v>6</v>
      </c>
      <c r="G128" s="23" t="n">
        <f>B128/$C$18*100</f>
        <v>22.5</v>
      </c>
      <c r="H128" s="50" t="n">
        <f>C128/$C$18*100</f>
        <v>20</v>
      </c>
      <c r="I128" s="50" t="n">
        <f>D128/$C$18*100</f>
        <v>25</v>
      </c>
      <c r="J128" s="50" t="n">
        <f>E128/$C$18*100</f>
        <v>17.5</v>
      </c>
      <c r="K128" s="50" t="n">
        <f>F128/$C$18*100</f>
        <v>15</v>
      </c>
      <c r="L128" s="22" t="n">
        <f>SUM(D$23*$G128,D$24*$H128,D$25*$I128,D$26*$J128,D$27*$K128)/100</f>
        <v>7.7424157303370791</v>
      </c>
      <c r="M128" s="22" t="n">
        <f>SUM(E$23*$G128,E$24*$H128,E$25*$I128,E$26*$J128,E$27*$K128)/100</f>
        <v>3.9244181536074469</v>
      </c>
      <c r="N128" s="22" t="n">
        <f>SUM(F$23*$G128,F$24*$H128,F$25*$I128,F$26*$J128,F$27*$K128)/100</f>
        <v>4.0148523234266689</v>
      </c>
      <c r="O128" s="51" t="str">
        <f>IF(COUNTIF(L128:N128,MAX(L128:N128))&gt;1,"Tie",INDEX($L$34:$N$34,1,MATCH(MAX(L128:N128),L128:N128,0)))</f>
        <v>ARUCO</v>
      </c>
    </row>
    <row r="129">
      <c r="A129" s="47" t="s">
        <v>142</v>
      </c>
      <c r="B129" s="53" t="n">
        <f>$C$16</f>
        <v>9</v>
      </c>
      <c r="C129" s="53" t="n">
        <f>$C$17</f>
        <v>8</v>
      </c>
      <c r="D129" s="53" t="n">
        <f>$C$15</f>
        <v>7</v>
      </c>
      <c r="E129" s="53" t="n">
        <f>$C$13</f>
        <v>6</v>
      </c>
      <c r="F129" s="53" t="n">
        <f>$C$14</f>
        <v>10</v>
      </c>
      <c r="G129" s="23" t="n">
        <f>B129/$C$18*100</f>
        <v>22.5</v>
      </c>
      <c r="H129" s="50" t="n">
        <f>C129/$C$18*100</f>
        <v>20</v>
      </c>
      <c r="I129" s="50" t="n">
        <f>D129/$C$18*100</f>
        <v>17.5</v>
      </c>
      <c r="J129" s="50" t="n">
        <f>E129/$C$18*100</f>
        <v>15</v>
      </c>
      <c r="K129" s="50" t="n">
        <f>F129/$C$18*100</f>
        <v>25</v>
      </c>
      <c r="L129" s="22" t="n">
        <f>SUM(D$23*$G129,D$24*$H129,D$25*$I129,D$26*$J129,D$27*$K129)/100</f>
        <v>7.5123595505617988</v>
      </c>
      <c r="M129" s="22" t="n">
        <f>SUM(E$23*$G129,E$24*$H129,E$25*$I129,E$26*$J129,E$27*$K129)/100</f>
        <v>3.6994181536074473</v>
      </c>
      <c r="N129" s="22" t="n">
        <f>SUM(F$23*$G129,F$24*$H129,F$25*$I129,F$26*$J129,F$27*$K129)/100</f>
        <v>4.7069533344130319</v>
      </c>
      <c r="O129" s="51" t="str">
        <f>IF(COUNTIF(L129:N129,MAX(L129:N129))&gt;1,"Tie",INDEX($L$34:$N$34,1,MATCH(MAX(L129:N129),L129:N129,0)))</f>
        <v>ARUCO</v>
      </c>
    </row>
    <row r="130">
      <c r="A130" s="47" t="s">
        <v>143</v>
      </c>
      <c r="B130" s="53" t="n">
        <f>$C$16</f>
        <v>9</v>
      </c>
      <c r="C130" s="53" t="n">
        <f>$C$17</f>
        <v>8</v>
      </c>
      <c r="D130" s="53" t="n">
        <f>$C$15</f>
        <v>7</v>
      </c>
      <c r="E130" s="53" t="n">
        <f>$C$14</f>
        <v>10</v>
      </c>
      <c r="F130" s="53" t="n">
        <f>$C$13</f>
        <v>6</v>
      </c>
      <c r="G130" s="23" t="n">
        <f>B130/$C$18*100</f>
        <v>22.5</v>
      </c>
      <c r="H130" s="50" t="n">
        <f>C130/$C$18*100</f>
        <v>20</v>
      </c>
      <c r="I130" s="50" t="n">
        <f>D130/$C$18*100</f>
        <v>17.5</v>
      </c>
      <c r="J130" s="50" t="n">
        <f>E130/$C$18*100</f>
        <v>25</v>
      </c>
      <c r="K130" s="50" t="n">
        <f>F130/$C$18*100</f>
        <v>15</v>
      </c>
      <c r="L130" s="22" t="n">
        <f>SUM(D$23*$G130,D$24*$H130,D$25*$I130,D$26*$J130,D$27*$K130)/100</f>
        <v>7.0674157303370793</v>
      </c>
      <c r="M130" s="22" t="n">
        <f>SUM(E$23*$G130,E$24*$H130,E$25*$I130,E$26*$J130,E$27*$K130)/100</f>
        <v>4.5994181536074468</v>
      </c>
      <c r="N130" s="22" t="n">
        <f>SUM(F$23*$G130,F$24*$H130,F$25*$I130,F$26*$J130,F$27*$K130)/100</f>
        <v>3.9490957909469651</v>
      </c>
      <c r="O130" s="51" t="str">
        <f>IF(COUNTIF(L130:N130,MAX(L130:N130))&gt;1,"Tie",INDEX($L$34:$N$34,1,MATCH(MAX(L130:N130),L130:N130,0)))</f>
        <v>ARUCO</v>
      </c>
    </row>
    <row r="131">
      <c r="A131" s="47" t="s">
        <v>144</v>
      </c>
      <c r="B131" s="53" t="n">
        <f>$C$17</f>
        <v>8</v>
      </c>
      <c r="C131" s="53" t="n">
        <f>$C$13</f>
        <v>6</v>
      </c>
      <c r="D131" s="53" t="n">
        <f>$C$14</f>
        <v>10</v>
      </c>
      <c r="E131" s="53" t="n">
        <f>$C$15</f>
        <v>7</v>
      </c>
      <c r="F131" s="53" t="n">
        <f>$C$16</f>
        <v>9</v>
      </c>
      <c r="G131" s="23" t="n">
        <f>B131/$C$18*100</f>
        <v>20</v>
      </c>
      <c r="H131" s="50" t="n">
        <f>C131/$C$18*100</f>
        <v>15</v>
      </c>
      <c r="I131" s="50" t="n">
        <f>D131/$C$18*100</f>
        <v>25</v>
      </c>
      <c r="J131" s="50" t="n">
        <f>E131/$C$18*100</f>
        <v>17.5</v>
      </c>
      <c r="K131" s="50" t="n">
        <f>F131/$C$18*100</f>
        <v>22.5</v>
      </c>
      <c r="L131" s="22" t="n">
        <f>SUM(D$23*$G131,D$24*$H131,D$25*$I131,D$26*$J131,D$27*$K131)/100</f>
        <v>7.4011235955056183</v>
      </c>
      <c r="M131" s="22" t="n">
        <f>SUM(E$23*$G131,E$24*$H131,E$25*$I131,E$26*$J131,E$27*$K131)/100</f>
        <v>3.5870636152055853</v>
      </c>
      <c r="N131" s="22" t="n">
        <f>SUM(F$23*$G131,F$24*$H131,F$25*$I131,F$26*$J131,F$27*$K131)/100</f>
        <v>4.5963458299201756</v>
      </c>
      <c r="O131" s="51" t="str">
        <f>IF(COUNTIF(L131:N131,MAX(L131:N131))&gt;1,"Tie",INDEX($L$34:$N$34,1,MATCH(MAX(L131:N131),L131:N131,0)))</f>
        <v>ARUCO</v>
      </c>
    </row>
    <row r="132">
      <c r="A132" s="47" t="s">
        <v>145</v>
      </c>
      <c r="B132" s="53" t="n">
        <f>$C$17</f>
        <v>8</v>
      </c>
      <c r="C132" s="53" t="n">
        <f>$C$13</f>
        <v>6</v>
      </c>
      <c r="D132" s="53" t="n">
        <f>$C$14</f>
        <v>10</v>
      </c>
      <c r="E132" s="53" t="n">
        <f>$C$16</f>
        <v>9</v>
      </c>
      <c r="F132" s="53" t="n">
        <f>$C$15</f>
        <v>7</v>
      </c>
      <c r="G132" s="23" t="n">
        <f>B132/$C$18*100</f>
        <v>20</v>
      </c>
      <c r="H132" s="50" t="n">
        <f>C132/$C$18*100</f>
        <v>15</v>
      </c>
      <c r="I132" s="50" t="n">
        <f>D132/$C$18*100</f>
        <v>25</v>
      </c>
      <c r="J132" s="50" t="n">
        <f>E132/$C$18*100</f>
        <v>22.5</v>
      </c>
      <c r="K132" s="50" t="n">
        <f>F132/$C$18*100</f>
        <v>17.5</v>
      </c>
      <c r="L132" s="22" t="n">
        <f>SUM(D$23*$G132,D$24*$H132,D$25*$I132,D$26*$J132,D$27*$K132)/100</f>
        <v>7.178651685393258</v>
      </c>
      <c r="M132" s="22" t="n">
        <f>SUM(E$23*$G132,E$24*$H132,E$25*$I132,E$26*$J132,E$27*$K132)/100</f>
        <v>4.037063615205585</v>
      </c>
      <c r="N132" s="22" t="n">
        <f>SUM(F$23*$G132,F$24*$H132,F$25*$I132,F$26*$J132,F$27*$K132)/100</f>
        <v>4.2174170581871424</v>
      </c>
      <c r="O132" s="51" t="str">
        <f>IF(COUNTIF(L132:N132,MAX(L132:N132))&gt;1,"Tie",INDEX($L$34:$N$34,1,MATCH(MAX(L132:N132),L132:N132,0)))</f>
        <v>ARUCO</v>
      </c>
    </row>
    <row r="133">
      <c r="A133" s="47" t="s">
        <v>146</v>
      </c>
      <c r="B133" s="53" t="n">
        <f>$C$17</f>
        <v>8</v>
      </c>
      <c r="C133" s="53" t="n">
        <f>$C$13</f>
        <v>6</v>
      </c>
      <c r="D133" s="53" t="n">
        <f>$C$15</f>
        <v>7</v>
      </c>
      <c r="E133" s="53" t="n">
        <f>$C$14</f>
        <v>10</v>
      </c>
      <c r="F133" s="53" t="n">
        <f>$C$16</f>
        <v>9</v>
      </c>
      <c r="G133" s="23" t="n">
        <f>B133/$C$18*100</f>
        <v>20</v>
      </c>
      <c r="H133" s="50" t="n">
        <f>C133/$C$18*100</f>
        <v>15</v>
      </c>
      <c r="I133" s="50" t="n">
        <f>D133/$C$18*100</f>
        <v>17.5</v>
      </c>
      <c r="J133" s="50" t="n">
        <f>E133/$C$18*100</f>
        <v>25</v>
      </c>
      <c r="K133" s="50" t="n">
        <f>F133/$C$18*100</f>
        <v>22.5</v>
      </c>
      <c r="L133" s="22" t="n">
        <f>SUM(D$23*$G133,D$24*$H133,D$25*$I133,D$26*$J133,D$27*$K133)/100</f>
        <v>6.7261235955056176</v>
      </c>
      <c r="M133" s="22" t="n">
        <f>SUM(E$23*$G133,E$24*$H133,E$25*$I133,E$26*$J133,E$27*$K133)/100</f>
        <v>4.2620636152055855</v>
      </c>
      <c r="N133" s="22" t="n">
        <f>SUM(F$23*$G133,F$24*$H133,F$25*$I133,F$26*$J133,F$27*$K133)/100</f>
        <v>4.5305892974404713</v>
      </c>
      <c r="O133" s="51" t="str">
        <f>IF(COUNTIF(L133:N133,MAX(L133:N133))&gt;1,"Tie",INDEX($L$34:$N$34,1,MATCH(MAX(L133:N133),L133:N133,0)))</f>
        <v>ARUCO</v>
      </c>
    </row>
    <row r="134">
      <c r="A134" s="47" t="s">
        <v>147</v>
      </c>
      <c r="B134" s="53" t="n">
        <f>$C$17</f>
        <v>8</v>
      </c>
      <c r="C134" s="53" t="n">
        <f>$C$13</f>
        <v>6</v>
      </c>
      <c r="D134" s="53" t="n">
        <f>$C$15</f>
        <v>7</v>
      </c>
      <c r="E134" s="53" t="n">
        <f>$C$16</f>
        <v>9</v>
      </c>
      <c r="F134" s="53" t="n">
        <f>$C$14</f>
        <v>10</v>
      </c>
      <c r="G134" s="23" t="n">
        <f>B134/$C$18*100</f>
        <v>20</v>
      </c>
      <c r="H134" s="50" t="n">
        <f>C134/$C$18*100</f>
        <v>15</v>
      </c>
      <c r="I134" s="50" t="n">
        <f>D134/$C$18*100</f>
        <v>17.5</v>
      </c>
      <c r="J134" s="50" t="n">
        <f>E134/$C$18*100</f>
        <v>22.5</v>
      </c>
      <c r="K134" s="50" t="n">
        <f>F134/$C$18*100</f>
        <v>25</v>
      </c>
      <c r="L134" s="22" t="n">
        <f>SUM(D$23*$G134,D$24*$H134,D$25*$I134,D$26*$J134,D$27*$K134)/100</f>
        <v>6.8373595505617981</v>
      </c>
      <c r="M134" s="22" t="n">
        <f>SUM(E$23*$G134,E$24*$H134,E$25*$I134,E$26*$J134,E$27*$K134)/100</f>
        <v>4.037063615205585</v>
      </c>
      <c r="N134" s="22" t="n">
        <f>SUM(F$23*$G134,F$24*$H134,F$25*$I134,F$26*$J134,F$27*$K134)/100</f>
        <v>4.7200536833069879</v>
      </c>
      <c r="O134" s="51" t="str">
        <f>IF(COUNTIF(L134:N134,MAX(L134:N134))&gt;1,"Tie",INDEX($L$34:$N$34,1,MATCH(MAX(L134:N134),L134:N134,0)))</f>
        <v>ARUCO</v>
      </c>
    </row>
    <row r="135">
      <c r="A135" s="47" t="s">
        <v>148</v>
      </c>
      <c r="B135" s="53" t="n">
        <f>$C$17</f>
        <v>8</v>
      </c>
      <c r="C135" s="53" t="n">
        <f>$C$13</f>
        <v>6</v>
      </c>
      <c r="D135" s="53" t="n">
        <f>$C$16</f>
        <v>9</v>
      </c>
      <c r="E135" s="53" t="n">
        <f>$C$14</f>
        <v>10</v>
      </c>
      <c r="F135" s="53" t="n">
        <f>$C$15</f>
        <v>7</v>
      </c>
      <c r="G135" s="23" t="n">
        <f>B135/$C$18*100</f>
        <v>20</v>
      </c>
      <c r="H135" s="50" t="n">
        <f>C135/$C$18*100</f>
        <v>15</v>
      </c>
      <c r="I135" s="50" t="n">
        <f>D135/$C$18*100</f>
        <v>22.5</v>
      </c>
      <c r="J135" s="50" t="n">
        <f>E135/$C$18*100</f>
        <v>25</v>
      </c>
      <c r="K135" s="50" t="n">
        <f>F135/$C$18*100</f>
        <v>17.5</v>
      </c>
      <c r="L135" s="22" t="n">
        <f>SUM(D$23*$G135,D$24*$H135,D$25*$I135,D$26*$J135,D$27*$K135)/100</f>
        <v>6.9536516853932584</v>
      </c>
      <c r="M135" s="22" t="n">
        <f>SUM(E$23*$G135,E$24*$H135,E$25*$I135,E$26*$J135,E$27*$K135)/100</f>
        <v>4.2620636152055855</v>
      </c>
      <c r="N135" s="22" t="n">
        <f>SUM(F$23*$G135,F$24*$H135,F$25*$I135,F$26*$J135,F$27*$K135)/100</f>
        <v>4.195498214027241</v>
      </c>
      <c r="O135" s="51" t="str">
        <f>IF(COUNTIF(L135:N135,MAX(L135:N135))&gt;1,"Tie",INDEX($L$34:$N$34,1,MATCH(MAX(L135:N135),L135:N135,0)))</f>
        <v>ARUCO</v>
      </c>
    </row>
    <row r="136">
      <c r="A136" s="47" t="s">
        <v>149</v>
      </c>
      <c r="B136" s="53" t="n">
        <f>$C$17</f>
        <v>8</v>
      </c>
      <c r="C136" s="53" t="n">
        <f>$C$13</f>
        <v>6</v>
      </c>
      <c r="D136" s="53" t="n">
        <f>$C$16</f>
        <v>9</v>
      </c>
      <c r="E136" s="53" t="n">
        <f>$C$15</f>
        <v>7</v>
      </c>
      <c r="F136" s="53" t="n">
        <f>$C$14</f>
        <v>10</v>
      </c>
      <c r="G136" s="23" t="n">
        <f>B136/$C$18*100</f>
        <v>20</v>
      </c>
      <c r="H136" s="50" t="n">
        <f>C136/$C$18*100</f>
        <v>15</v>
      </c>
      <c r="I136" s="50" t="n">
        <f>D136/$C$18*100</f>
        <v>22.5</v>
      </c>
      <c r="J136" s="50" t="n">
        <f>E136/$C$18*100</f>
        <v>17.5</v>
      </c>
      <c r="K136" s="50" t="n">
        <f>F136/$C$18*100</f>
        <v>25</v>
      </c>
      <c r="L136" s="22" t="n">
        <f>SUM(D$23*$G136,D$24*$H136,D$25*$I136,D$26*$J136,D$27*$K136)/100</f>
        <v>7.2873595505617983</v>
      </c>
      <c r="M136" s="22" t="n">
        <f>SUM(E$23*$G136,E$24*$H136,E$25*$I136,E$26*$J136,E$27*$K136)/100</f>
        <v>3.5870636152055853</v>
      </c>
      <c r="N136" s="22" t="n">
        <f>SUM(F$23*$G136,F$24*$H136,F$25*$I136,F$26*$J136,F$27*$K136)/100</f>
        <v>4.7638913716267908</v>
      </c>
      <c r="O136" s="51" t="str">
        <f>IF(COUNTIF(L136:N136,MAX(L136:N136))&gt;1,"Tie",INDEX($L$34:$N$34,1,MATCH(MAX(L136:N136),L136:N136,0)))</f>
        <v>ARUCO</v>
      </c>
    </row>
    <row r="137">
      <c r="A137" s="47" t="s">
        <v>150</v>
      </c>
      <c r="B137" s="53" t="n">
        <f>$C$17</f>
        <v>8</v>
      </c>
      <c r="C137" s="53" t="n">
        <f>$C$14</f>
        <v>10</v>
      </c>
      <c r="D137" s="53" t="n">
        <f>$C$13</f>
        <v>6</v>
      </c>
      <c r="E137" s="53" t="n">
        <f>$C$15</f>
        <v>7</v>
      </c>
      <c r="F137" s="53" t="n">
        <f>$C$16</f>
        <v>9</v>
      </c>
      <c r="G137" s="23" t="n">
        <f>B137/$C$18*100</f>
        <v>20</v>
      </c>
      <c r="H137" s="50" t="n">
        <f>C137/$C$18*100</f>
        <v>25</v>
      </c>
      <c r="I137" s="50" t="n">
        <f>D137/$C$18*100</f>
        <v>15</v>
      </c>
      <c r="J137" s="50" t="n">
        <f>E137/$C$18*100</f>
        <v>17.5</v>
      </c>
      <c r="K137" s="50" t="n">
        <f>F137/$C$18*100</f>
        <v>22.5</v>
      </c>
      <c r="L137" s="22" t="n">
        <f>SUM(D$23*$G137,D$24*$H137,D$25*$I137,D$26*$J137,D$27*$K137)/100</f>
        <v>7.4011235955056183</v>
      </c>
      <c r="M137" s="22" t="n">
        <f>SUM(E$23*$G137,E$24*$H137,E$25*$I137,E$26*$J137,E$27*$K137)/100</f>
        <v>4.2617726920093091</v>
      </c>
      <c r="N137" s="22" t="n">
        <f>SUM(F$23*$G137,F$24*$H137,F$25*$I137,F$26*$J137,F$27*$K137)/100</f>
        <v>4.3665279967466377</v>
      </c>
      <c r="O137" s="51" t="str">
        <f>IF(COUNTIF(L137:N137,MAX(L137:N137))&gt;1,"Tie",INDEX($L$34:$N$34,1,MATCH(MAX(L137:N137),L137:N137,0)))</f>
        <v>ARUCO</v>
      </c>
    </row>
    <row r="138">
      <c r="A138" s="47" t="s">
        <v>151</v>
      </c>
      <c r="B138" s="53" t="n">
        <f>$C$17</f>
        <v>8</v>
      </c>
      <c r="C138" s="53" t="n">
        <f>$C$14</f>
        <v>10</v>
      </c>
      <c r="D138" s="53" t="n">
        <f>$C$13</f>
        <v>6</v>
      </c>
      <c r="E138" s="53" t="n">
        <f>$C$16</f>
        <v>9</v>
      </c>
      <c r="F138" s="53" t="n">
        <f>$C$15</f>
        <v>7</v>
      </c>
      <c r="G138" s="23" t="n">
        <f>B138/$C$18*100</f>
        <v>20</v>
      </c>
      <c r="H138" s="50" t="n">
        <f>C138/$C$18*100</f>
        <v>25</v>
      </c>
      <c r="I138" s="50" t="n">
        <f>D138/$C$18*100</f>
        <v>15</v>
      </c>
      <c r="J138" s="50" t="n">
        <f>E138/$C$18*100</f>
        <v>22.5</v>
      </c>
      <c r="K138" s="50" t="n">
        <f>F138/$C$18*100</f>
        <v>17.5</v>
      </c>
      <c r="L138" s="22" t="n">
        <f>SUM(D$23*$G138,D$24*$H138,D$25*$I138,D$26*$J138,D$27*$K138)/100</f>
        <v>7.178651685393258</v>
      </c>
      <c r="M138" s="22" t="n">
        <f>SUM(E$23*$G138,E$24*$H138,E$25*$I138,E$26*$J138,E$27*$K138)/100</f>
        <v>4.7117726920093093</v>
      </c>
      <c r="N138" s="22" t="n">
        <f>SUM(F$23*$G138,F$24*$H138,F$25*$I138,F$26*$J138,F$27*$K138)/100</f>
        <v>3.9875992250136036</v>
      </c>
      <c r="O138" s="51" t="str">
        <f>IF(COUNTIF(L138:N138,MAX(L138:N138))&gt;1,"Tie",INDEX($L$34:$N$34,1,MATCH(MAX(L138:N138),L138:N138,0)))</f>
        <v>ARUCO</v>
      </c>
    </row>
    <row r="139">
      <c r="A139" s="47" t="s">
        <v>152</v>
      </c>
      <c r="B139" s="53" t="n">
        <f>$C$17</f>
        <v>8</v>
      </c>
      <c r="C139" s="53" t="n">
        <f>$C$14</f>
        <v>10</v>
      </c>
      <c r="D139" s="53" t="n">
        <f>$C$15</f>
        <v>7</v>
      </c>
      <c r="E139" s="53" t="n">
        <f>$C$13</f>
        <v>6</v>
      </c>
      <c r="F139" s="53" t="n">
        <f>$C$16</f>
        <v>9</v>
      </c>
      <c r="G139" s="23" t="n">
        <f>B139/$C$18*100</f>
        <v>20</v>
      </c>
      <c r="H139" s="50" t="n">
        <f>C139/$C$18*100</f>
        <v>25</v>
      </c>
      <c r="I139" s="50" t="n">
        <f>D139/$C$18*100</f>
        <v>17.5</v>
      </c>
      <c r="J139" s="50" t="n">
        <f>E139/$C$18*100</f>
        <v>15</v>
      </c>
      <c r="K139" s="50" t="n">
        <f>F139/$C$18*100</f>
        <v>22.5</v>
      </c>
      <c r="L139" s="22" t="n">
        <f>SUM(D$23*$G139,D$24*$H139,D$25*$I139,D$26*$J139,D$27*$K139)/100</f>
        <v>7.6261235955056179</v>
      </c>
      <c r="M139" s="22" t="n">
        <f>SUM(E$23*$G139,E$24*$H139,E$25*$I139,E$26*$J139,E$27*$K139)/100</f>
        <v>4.0367726920093094</v>
      </c>
      <c r="N139" s="22" t="n">
        <f>SUM(F$23*$G139,F$24*$H139,F$25*$I139,F$26*$J139,F$27*$K139)/100</f>
        <v>4.3884468409065382</v>
      </c>
      <c r="O139" s="51" t="str">
        <f>IF(COUNTIF(L139:N139,MAX(L139:N139))&gt;1,"Tie",INDEX($L$34:$N$34,1,MATCH(MAX(L139:N139),L139:N139,0)))</f>
        <v>ARUCO</v>
      </c>
    </row>
    <row r="140">
      <c r="A140" s="47" t="s">
        <v>153</v>
      </c>
      <c r="B140" s="53" t="n">
        <f>$C$17</f>
        <v>8</v>
      </c>
      <c r="C140" s="53" t="n">
        <f>$C$14</f>
        <v>10</v>
      </c>
      <c r="D140" s="53" t="n">
        <f>$C$15</f>
        <v>7</v>
      </c>
      <c r="E140" s="53" t="n">
        <f>$C$16</f>
        <v>9</v>
      </c>
      <c r="F140" s="53" t="n">
        <f>$C$13</f>
        <v>6</v>
      </c>
      <c r="G140" s="23" t="n">
        <f>B140/$C$18*100</f>
        <v>20</v>
      </c>
      <c r="H140" s="50" t="n">
        <f>C140/$C$18*100</f>
        <v>25</v>
      </c>
      <c r="I140" s="50" t="n">
        <f>D140/$C$18*100</f>
        <v>17.5</v>
      </c>
      <c r="J140" s="50" t="n">
        <f>E140/$C$18*100</f>
        <v>22.5</v>
      </c>
      <c r="K140" s="50" t="n">
        <f>F140/$C$18*100</f>
        <v>15</v>
      </c>
      <c r="L140" s="22" t="n">
        <f>SUM(D$23*$G140,D$24*$H140,D$25*$I140,D$26*$J140,D$27*$K140)/100</f>
        <v>7.2924157303370789</v>
      </c>
      <c r="M140" s="22" t="n">
        <f>SUM(E$23*$G140,E$24*$H140,E$25*$I140,E$26*$J140,E$27*$K140)/100</f>
        <v>4.7117726920093093</v>
      </c>
      <c r="N140" s="22" t="n">
        <f>SUM(F$23*$G140,F$24*$H140,F$25*$I140,F$26*$J140,F$27*$K140)/100</f>
        <v>3.8200536833069885</v>
      </c>
      <c r="O140" s="51" t="str">
        <f>IF(COUNTIF(L140:N140,MAX(L140:N140))&gt;1,"Tie",INDEX($L$34:$N$34,1,MATCH(MAX(L140:N140),L140:N140,0)))</f>
        <v>ARUCO</v>
      </c>
    </row>
    <row r="141">
      <c r="A141" s="47" t="s">
        <v>154</v>
      </c>
      <c r="B141" s="53" t="n">
        <f>$C$17</f>
        <v>8</v>
      </c>
      <c r="C141" s="53" t="n">
        <f>$C$14</f>
        <v>10</v>
      </c>
      <c r="D141" s="53" t="n">
        <f>$C$16</f>
        <v>9</v>
      </c>
      <c r="E141" s="53" t="n">
        <f>$C$13</f>
        <v>6</v>
      </c>
      <c r="F141" s="53" t="n">
        <f>$C$15</f>
        <v>7</v>
      </c>
      <c r="G141" s="23" t="n">
        <f>B141/$C$18*100</f>
        <v>20</v>
      </c>
      <c r="H141" s="50" t="n">
        <f>C141/$C$18*100</f>
        <v>25</v>
      </c>
      <c r="I141" s="50" t="n">
        <f>D141/$C$18*100</f>
        <v>22.5</v>
      </c>
      <c r="J141" s="50" t="n">
        <f>E141/$C$18*100</f>
        <v>15</v>
      </c>
      <c r="K141" s="50" t="n">
        <f>F141/$C$18*100</f>
        <v>17.5</v>
      </c>
      <c r="L141" s="22" t="n">
        <f>SUM(D$23*$G141,D$24*$H141,D$25*$I141,D$26*$J141,D$27*$K141)/100</f>
        <v>7.8536516853932579</v>
      </c>
      <c r="M141" s="22" t="n">
        <f>SUM(E$23*$G141,E$24*$H141,E$25*$I141,E$26*$J141,E$27*$K141)/100</f>
        <v>4.0367726920093094</v>
      </c>
      <c r="N141" s="22" t="n">
        <f>SUM(F$23*$G141,F$24*$H141,F$25*$I141,F$26*$J141,F$27*$K141)/100</f>
        <v>4.0533557574933079</v>
      </c>
      <c r="O141" s="51" t="str">
        <f>IF(COUNTIF(L141:N141,MAX(L141:N141))&gt;1,"Tie",INDEX($L$34:$N$34,1,MATCH(MAX(L141:N141),L141:N141,0)))</f>
        <v>ARUCO</v>
      </c>
    </row>
    <row r="142">
      <c r="A142" s="47" t="s">
        <v>155</v>
      </c>
      <c r="B142" s="53" t="n">
        <f>$C$17</f>
        <v>8</v>
      </c>
      <c r="C142" s="53" t="n">
        <f>$C$14</f>
        <v>10</v>
      </c>
      <c r="D142" s="53" t="n">
        <f>$C$16</f>
        <v>9</v>
      </c>
      <c r="E142" s="53" t="n">
        <f>$C$15</f>
        <v>7</v>
      </c>
      <c r="F142" s="53" t="n">
        <f>$C$13</f>
        <v>6</v>
      </c>
      <c r="G142" s="23" t="n">
        <f>B142/$C$18*100</f>
        <v>20</v>
      </c>
      <c r="H142" s="50" t="n">
        <f>C142/$C$18*100</f>
        <v>25</v>
      </c>
      <c r="I142" s="50" t="n">
        <f>D142/$C$18*100</f>
        <v>22.5</v>
      </c>
      <c r="J142" s="50" t="n">
        <f>E142/$C$18*100</f>
        <v>17.5</v>
      </c>
      <c r="K142" s="50" t="n">
        <f>F142/$C$18*100</f>
        <v>15</v>
      </c>
      <c r="L142" s="22" t="n">
        <f>SUM(D$23*$G142,D$24*$H142,D$25*$I142,D$26*$J142,D$27*$K142)/100</f>
        <v>7.7424157303370791</v>
      </c>
      <c r="M142" s="22" t="n">
        <f>SUM(E$23*$G142,E$24*$H142,E$25*$I142,E$26*$J142,E$27*$K142)/100</f>
        <v>4.2617726920093091</v>
      </c>
      <c r="N142" s="22" t="n">
        <f>SUM(F$23*$G142,F$24*$H142,F$25*$I142,F$26*$J142,F$27*$K142)/100</f>
        <v>3.8638913716267909</v>
      </c>
      <c r="O142" s="51" t="str">
        <f>IF(COUNTIF(L142:N142,MAX(L142:N142))&gt;1,"Tie",INDEX($L$34:$N$34,1,MATCH(MAX(L142:N142),L142:N142,0)))</f>
        <v>ARUCO</v>
      </c>
    </row>
    <row r="143">
      <c r="A143" s="47" t="s">
        <v>156</v>
      </c>
      <c r="B143" s="53" t="n">
        <f>$C$17</f>
        <v>8</v>
      </c>
      <c r="C143" s="53" t="n">
        <f>$C$15</f>
        <v>7</v>
      </c>
      <c r="D143" s="53" t="n">
        <f>$C$13</f>
        <v>6</v>
      </c>
      <c r="E143" s="53" t="n">
        <f>$C$14</f>
        <v>10</v>
      </c>
      <c r="F143" s="53" t="n">
        <f>$C$16</f>
        <v>9</v>
      </c>
      <c r="G143" s="23" t="n">
        <f>B143/$C$18*100</f>
        <v>20</v>
      </c>
      <c r="H143" s="50" t="n">
        <f>C143/$C$18*100</f>
        <v>17.5</v>
      </c>
      <c r="I143" s="50" t="n">
        <f>D143/$C$18*100</f>
        <v>15</v>
      </c>
      <c r="J143" s="50" t="n">
        <f>E143/$C$18*100</f>
        <v>25</v>
      </c>
      <c r="K143" s="50" t="n">
        <f>F143/$C$18*100</f>
        <v>22.5</v>
      </c>
      <c r="L143" s="22" t="n">
        <f>SUM(D$23*$G143,D$24*$H143,D$25*$I143,D$26*$J143,D$27*$K143)/100</f>
        <v>6.7261235955056176</v>
      </c>
      <c r="M143" s="22" t="n">
        <f>SUM(E$23*$G143,E$24*$H143,E$25*$I143,E$26*$J143,E$27*$K143)/100</f>
        <v>4.4307408844065161</v>
      </c>
      <c r="N143" s="22" t="n">
        <f>SUM(F$23*$G143,F$24*$H143,F$25*$I143,F$26*$J143,F$27*$K143)/100</f>
        <v>4.4731348391470878</v>
      </c>
      <c r="O143" s="51" t="str">
        <f>IF(COUNTIF(L143:N143,MAX(L143:N143))&gt;1,"Tie",INDEX($L$34:$N$34,1,MATCH(MAX(L143:N143),L143:N143,0)))</f>
        <v>ARUCO</v>
      </c>
    </row>
    <row r="144">
      <c r="A144" s="47" t="s">
        <v>157</v>
      </c>
      <c r="B144" s="53" t="n">
        <f>$C$17</f>
        <v>8</v>
      </c>
      <c r="C144" s="53" t="n">
        <f>$C$15</f>
        <v>7</v>
      </c>
      <c r="D144" s="53" t="n">
        <f>$C$13</f>
        <v>6</v>
      </c>
      <c r="E144" s="53" t="n">
        <f>$C$16</f>
        <v>9</v>
      </c>
      <c r="F144" s="53" t="n">
        <f>$C$14</f>
        <v>10</v>
      </c>
      <c r="G144" s="23" t="n">
        <f>B144/$C$18*100</f>
        <v>20</v>
      </c>
      <c r="H144" s="50" t="n">
        <f>C144/$C$18*100</f>
        <v>17.5</v>
      </c>
      <c r="I144" s="50" t="n">
        <f>D144/$C$18*100</f>
        <v>15</v>
      </c>
      <c r="J144" s="50" t="n">
        <f>E144/$C$18*100</f>
        <v>22.5</v>
      </c>
      <c r="K144" s="50" t="n">
        <f>F144/$C$18*100</f>
        <v>25</v>
      </c>
      <c r="L144" s="22" t="n">
        <f>SUM(D$23*$G144,D$24*$H144,D$25*$I144,D$26*$J144,D$27*$K144)/100</f>
        <v>6.8373595505617981</v>
      </c>
      <c r="M144" s="22" t="n">
        <f>SUM(E$23*$G144,E$24*$H144,E$25*$I144,E$26*$J144,E$27*$K144)/100</f>
        <v>4.2057408844065165</v>
      </c>
      <c r="N144" s="22" t="n">
        <f>SUM(F$23*$G144,F$24*$H144,F$25*$I144,F$26*$J144,F$27*$K144)/100</f>
        <v>4.6625992250136035</v>
      </c>
      <c r="O144" s="51" t="str">
        <f>IF(COUNTIF(L144:N144,MAX(L144:N144))&gt;1,"Tie",INDEX($L$34:$N$34,1,MATCH(MAX(L144:N144),L144:N144,0)))</f>
        <v>ARUCO</v>
      </c>
    </row>
    <row r="145">
      <c r="A145" s="47" t="s">
        <v>158</v>
      </c>
      <c r="B145" s="53" t="n">
        <f>$C$17</f>
        <v>8</v>
      </c>
      <c r="C145" s="53" t="n">
        <f>$C$15</f>
        <v>7</v>
      </c>
      <c r="D145" s="53" t="n">
        <f>$C$14</f>
        <v>10</v>
      </c>
      <c r="E145" s="53" t="n">
        <f>$C$13</f>
        <v>6</v>
      </c>
      <c r="F145" s="53" t="n">
        <f>$C$16</f>
        <v>9</v>
      </c>
      <c r="G145" s="23" t="n">
        <f>B145/$C$18*100</f>
        <v>20</v>
      </c>
      <c r="H145" s="50" t="n">
        <f>C145/$C$18*100</f>
        <v>17.5</v>
      </c>
      <c r="I145" s="50" t="n">
        <f>D145/$C$18*100</f>
        <v>25</v>
      </c>
      <c r="J145" s="50" t="n">
        <f>E145/$C$18*100</f>
        <v>15</v>
      </c>
      <c r="K145" s="50" t="n">
        <f>F145/$C$18*100</f>
        <v>22.5</v>
      </c>
      <c r="L145" s="22" t="n">
        <f>SUM(D$23*$G145,D$24*$H145,D$25*$I145,D$26*$J145,D$27*$K145)/100</f>
        <v>7.6261235955056179</v>
      </c>
      <c r="M145" s="22" t="n">
        <f>SUM(E$23*$G145,E$24*$H145,E$25*$I145,E$26*$J145,E$27*$K145)/100</f>
        <v>3.5307408844065167</v>
      </c>
      <c r="N145" s="22" t="n">
        <f>SUM(F$23*$G145,F$24*$H145,F$25*$I145,F$26*$J145,F$27*$K145)/100</f>
        <v>4.5608102157866925</v>
      </c>
      <c r="O145" s="51" t="str">
        <f>IF(COUNTIF(L145:N145,MAX(L145:N145))&gt;1,"Tie",INDEX($L$34:$N$34,1,MATCH(MAX(L145:N145),L145:N145,0)))</f>
        <v>ARUCO</v>
      </c>
    </row>
    <row r="146">
      <c r="A146" s="47" t="s">
        <v>159</v>
      </c>
      <c r="B146" s="53" t="n">
        <f>$C$17</f>
        <v>8</v>
      </c>
      <c r="C146" s="53" t="n">
        <f>$C$15</f>
        <v>7</v>
      </c>
      <c r="D146" s="53" t="n">
        <f>$C$14</f>
        <v>10</v>
      </c>
      <c r="E146" s="53" t="n">
        <f>$C$16</f>
        <v>9</v>
      </c>
      <c r="F146" s="53" t="n">
        <f>$C$13</f>
        <v>6</v>
      </c>
      <c r="G146" s="23" t="n">
        <f>B146/$C$18*100</f>
        <v>20</v>
      </c>
      <c r="H146" s="50" t="n">
        <f>C146/$C$18*100</f>
        <v>17.5</v>
      </c>
      <c r="I146" s="50" t="n">
        <f>D146/$C$18*100</f>
        <v>25</v>
      </c>
      <c r="J146" s="50" t="n">
        <f>E146/$C$18*100</f>
        <v>22.5</v>
      </c>
      <c r="K146" s="50" t="n">
        <f>F146/$C$18*100</f>
        <v>15</v>
      </c>
      <c r="L146" s="22" t="n">
        <f>SUM(D$23*$G146,D$24*$H146,D$25*$I146,D$26*$J146,D$27*$K146)/100</f>
        <v>7.2924157303370789</v>
      </c>
      <c r="M146" s="22" t="n">
        <f>SUM(E$23*$G146,E$24*$H146,E$25*$I146,E$26*$J146,E$27*$K146)/100</f>
        <v>4.2057408844065165</v>
      </c>
      <c r="N146" s="22" t="n">
        <f>SUM(F$23*$G146,F$24*$H146,F$25*$I146,F$26*$J146,F$27*$K146)/100</f>
        <v>3.9924170581871423</v>
      </c>
      <c r="O146" s="51" t="str">
        <f>IF(COUNTIF(L146:N146,MAX(L146:N146))&gt;1,"Tie",INDEX($L$34:$N$34,1,MATCH(MAX(L146:N146),L146:N146,0)))</f>
        <v>ARUCO</v>
      </c>
    </row>
    <row r="147">
      <c r="A147" s="47" t="s">
        <v>160</v>
      </c>
      <c r="B147" s="53" t="n">
        <f>$C$17</f>
        <v>8</v>
      </c>
      <c r="C147" s="53" t="n">
        <f>$C$15</f>
        <v>7</v>
      </c>
      <c r="D147" s="53" t="n">
        <f>$C$16</f>
        <v>9</v>
      </c>
      <c r="E147" s="53" t="n">
        <f>$C$13</f>
        <v>6</v>
      </c>
      <c r="F147" s="53" t="n">
        <f>$C$14</f>
        <v>10</v>
      </c>
      <c r="G147" s="23" t="n">
        <f>B147/$C$18*100</f>
        <v>20</v>
      </c>
      <c r="H147" s="50" t="n">
        <f>C147/$C$18*100</f>
        <v>17.5</v>
      </c>
      <c r="I147" s="50" t="n">
        <f>D147/$C$18*100</f>
        <v>22.5</v>
      </c>
      <c r="J147" s="50" t="n">
        <f>E147/$C$18*100</f>
        <v>15</v>
      </c>
      <c r="K147" s="50" t="n">
        <f>F147/$C$18*100</f>
        <v>25</v>
      </c>
      <c r="L147" s="22" t="n">
        <f>SUM(D$23*$G147,D$24*$H147,D$25*$I147,D$26*$J147,D$27*$K147)/100</f>
        <v>7.5123595505617988</v>
      </c>
      <c r="M147" s="22" t="n">
        <f>SUM(E$23*$G147,E$24*$H147,E$25*$I147,E$26*$J147,E$27*$K147)/100</f>
        <v>3.5307408844065167</v>
      </c>
      <c r="N147" s="22" t="n">
        <f>SUM(F$23*$G147,F$24*$H147,F$25*$I147,F$26*$J147,F$27*$K147)/100</f>
        <v>4.7283557574933077</v>
      </c>
      <c r="O147" s="51" t="str">
        <f>IF(COUNTIF(L147:N147,MAX(L147:N147))&gt;1,"Tie",INDEX($L$34:$N$34,1,MATCH(MAX(L147:N147),L147:N147,0)))</f>
        <v>ARUCO</v>
      </c>
    </row>
    <row r="148">
      <c r="A148" s="47" t="s">
        <v>161</v>
      </c>
      <c r="B148" s="53" t="n">
        <f>$C$17</f>
        <v>8</v>
      </c>
      <c r="C148" s="53" t="n">
        <f>$C$15</f>
        <v>7</v>
      </c>
      <c r="D148" s="53" t="n">
        <f>$C$16</f>
        <v>9</v>
      </c>
      <c r="E148" s="53" t="n">
        <f>$C$14</f>
        <v>10</v>
      </c>
      <c r="F148" s="53" t="n">
        <f>$C$13</f>
        <v>6</v>
      </c>
      <c r="G148" s="23" t="n">
        <f>B148/$C$18*100</f>
        <v>20</v>
      </c>
      <c r="H148" s="50" t="n">
        <f>C148/$C$18*100</f>
        <v>17.5</v>
      </c>
      <c r="I148" s="50" t="n">
        <f>D148/$C$18*100</f>
        <v>22.5</v>
      </c>
      <c r="J148" s="50" t="n">
        <f>E148/$C$18*100</f>
        <v>25</v>
      </c>
      <c r="K148" s="50" t="n">
        <f>F148/$C$18*100</f>
        <v>15</v>
      </c>
      <c r="L148" s="22" t="n">
        <f>SUM(D$23*$G148,D$24*$H148,D$25*$I148,D$26*$J148,D$27*$K148)/100</f>
        <v>7.0674157303370793</v>
      </c>
      <c r="M148" s="22" t="n">
        <f>SUM(E$23*$G148,E$24*$H148,E$25*$I148,E$26*$J148,E$27*$K148)/100</f>
        <v>4.4307408844065161</v>
      </c>
      <c r="N148" s="22" t="n">
        <f>SUM(F$23*$G148,F$24*$H148,F$25*$I148,F$26*$J148,F$27*$K148)/100</f>
        <v>3.9704982140272405</v>
      </c>
      <c r="O148" s="51" t="str">
        <f>IF(COUNTIF(L148:N148,MAX(L148:N148))&gt;1,"Tie",INDEX($L$34:$N$34,1,MATCH(MAX(L148:N148),L148:N148,0)))</f>
        <v>ARUCO</v>
      </c>
    </row>
    <row r="149">
      <c r="A149" s="47" t="s">
        <v>162</v>
      </c>
      <c r="B149" s="53" t="n">
        <f>$C$17</f>
        <v>8</v>
      </c>
      <c r="C149" s="53" t="n">
        <f>$C$16</f>
        <v>9</v>
      </c>
      <c r="D149" s="53" t="n">
        <f>$C$13</f>
        <v>6</v>
      </c>
      <c r="E149" s="53" t="n">
        <f>$C$14</f>
        <v>10</v>
      </c>
      <c r="F149" s="53" t="n">
        <f>$C$15</f>
        <v>7</v>
      </c>
      <c r="G149" s="23" t="n">
        <f>B149/$C$18*100</f>
        <v>20</v>
      </c>
      <c r="H149" s="50" t="n">
        <f>C149/$C$18*100</f>
        <v>22.5</v>
      </c>
      <c r="I149" s="50" t="n">
        <f>D149/$C$18*100</f>
        <v>15</v>
      </c>
      <c r="J149" s="50" t="n">
        <f>E149/$C$18*100</f>
        <v>25</v>
      </c>
      <c r="K149" s="50" t="n">
        <f>F149/$C$18*100</f>
        <v>17.5</v>
      </c>
      <c r="L149" s="22" t="n">
        <f>SUM(D$23*$G149,D$24*$H149,D$25*$I149,D$26*$J149,D$27*$K149)/100</f>
        <v>6.9536516853932584</v>
      </c>
      <c r="M149" s="22" t="n">
        <f>SUM(E$23*$G149,E$24*$H149,E$25*$I149,E$26*$J149,E$27*$K149)/100</f>
        <v>4.7680954228083774</v>
      </c>
      <c r="N149" s="22" t="n">
        <f>SUM(F$23*$G149,F$24*$H149,F$25*$I149,F$26*$J149,F$27*$K149)/100</f>
        <v>4.0231348391470876</v>
      </c>
      <c r="O149" s="51" t="str">
        <f>IF(COUNTIF(L149:N149,MAX(L149:N149))&gt;1,"Tie",INDEX($L$34:$N$34,1,MATCH(MAX(L149:N149),L149:N149,0)))</f>
        <v>ARUCO</v>
      </c>
    </row>
    <row r="150">
      <c r="A150" s="47" t="s">
        <v>163</v>
      </c>
      <c r="B150" s="53" t="n">
        <f>$C$17</f>
        <v>8</v>
      </c>
      <c r="C150" s="53" t="n">
        <f>$C$16</f>
        <v>9</v>
      </c>
      <c r="D150" s="53" t="n">
        <f>$C$13</f>
        <v>6</v>
      </c>
      <c r="E150" s="53" t="n">
        <f>$C$15</f>
        <v>7</v>
      </c>
      <c r="F150" s="53" t="n">
        <f>$C$14</f>
        <v>10</v>
      </c>
      <c r="G150" s="23" t="n">
        <f>B150/$C$18*100</f>
        <v>20</v>
      </c>
      <c r="H150" s="50" t="n">
        <f>C150/$C$18*100</f>
        <v>22.5</v>
      </c>
      <c r="I150" s="50" t="n">
        <f>D150/$C$18*100</f>
        <v>15</v>
      </c>
      <c r="J150" s="50" t="n">
        <f>E150/$C$18*100</f>
        <v>17.5</v>
      </c>
      <c r="K150" s="50" t="n">
        <f>F150/$C$18*100</f>
        <v>25</v>
      </c>
      <c r="L150" s="22" t="n">
        <f>SUM(D$23*$G150,D$24*$H150,D$25*$I150,D$26*$J150,D$27*$K150)/100</f>
        <v>7.2873595505617983</v>
      </c>
      <c r="M150" s="22" t="n">
        <f>SUM(E$23*$G150,E$24*$H150,E$25*$I150,E$26*$J150,E$27*$K150)/100</f>
        <v>4.0930954228083776</v>
      </c>
      <c r="N150" s="22" t="n">
        <f>SUM(F$23*$G150,F$24*$H150,F$25*$I150,F$26*$J150,F$27*$K150)/100</f>
        <v>4.5915279967466374</v>
      </c>
      <c r="O150" s="51" t="str">
        <f>IF(COUNTIF(L150:N150,MAX(L150:N150))&gt;1,"Tie",INDEX($L$34:$N$34,1,MATCH(MAX(L150:N150),L150:N150,0)))</f>
        <v>ARUCO</v>
      </c>
    </row>
    <row r="151">
      <c r="A151" s="47" t="s">
        <v>164</v>
      </c>
      <c r="B151" s="53" t="n">
        <f>$C$17</f>
        <v>8</v>
      </c>
      <c r="C151" s="53" t="n">
        <f>$C$16</f>
        <v>9</v>
      </c>
      <c r="D151" s="53" t="n">
        <f>$C$14</f>
        <v>10</v>
      </c>
      <c r="E151" s="53" t="n">
        <f>$C$13</f>
        <v>6</v>
      </c>
      <c r="F151" s="53" t="n">
        <f>$C$15</f>
        <v>7</v>
      </c>
      <c r="G151" s="23" t="n">
        <f>B151/$C$18*100</f>
        <v>20</v>
      </c>
      <c r="H151" s="50" t="n">
        <f>C151/$C$18*100</f>
        <v>22.5</v>
      </c>
      <c r="I151" s="50" t="n">
        <f>D151/$C$18*100</f>
        <v>25</v>
      </c>
      <c r="J151" s="50" t="n">
        <f>E151/$C$18*100</f>
        <v>15</v>
      </c>
      <c r="K151" s="50" t="n">
        <f>F151/$C$18*100</f>
        <v>17.5</v>
      </c>
      <c r="L151" s="22" t="n">
        <f>SUM(D$23*$G151,D$24*$H151,D$25*$I151,D$26*$J151,D$27*$K151)/100</f>
        <v>7.8536516853932579</v>
      </c>
      <c r="M151" s="22" t="n">
        <f>SUM(E$23*$G151,E$24*$H151,E$25*$I151,E$26*$J151,E$27*$K151)/100</f>
        <v>3.8680954228083779</v>
      </c>
      <c r="N151" s="22" t="n">
        <f>SUM(F$23*$G151,F$24*$H151,F$25*$I151,F$26*$J151,F$27*$K151)/100</f>
        <v>4.1108102157866924</v>
      </c>
      <c r="O151" s="51" t="str">
        <f>IF(COUNTIF(L151:N151,MAX(L151:N151))&gt;1,"Tie",INDEX($L$34:$N$34,1,MATCH(MAX(L151:N151),L151:N151,0)))</f>
        <v>ARUCO</v>
      </c>
    </row>
    <row r="152">
      <c r="A152" s="47" t="s">
        <v>165</v>
      </c>
      <c r="B152" s="53" t="n">
        <f>$C$17</f>
        <v>8</v>
      </c>
      <c r="C152" s="53" t="n">
        <f>$C$16</f>
        <v>9</v>
      </c>
      <c r="D152" s="53" t="n">
        <f>$C$14</f>
        <v>10</v>
      </c>
      <c r="E152" s="53" t="n">
        <f>$C$15</f>
        <v>7</v>
      </c>
      <c r="F152" s="53" t="n">
        <f>$C$13</f>
        <v>6</v>
      </c>
      <c r="G152" s="23" t="n">
        <f>B152/$C$18*100</f>
        <v>20</v>
      </c>
      <c r="H152" s="50" t="n">
        <f>C152/$C$18*100</f>
        <v>22.5</v>
      </c>
      <c r="I152" s="50" t="n">
        <f>D152/$C$18*100</f>
        <v>25</v>
      </c>
      <c r="J152" s="50" t="n">
        <f>E152/$C$18*100</f>
        <v>17.5</v>
      </c>
      <c r="K152" s="50" t="n">
        <f>F152/$C$18*100</f>
        <v>15</v>
      </c>
      <c r="L152" s="22" t="n">
        <f>SUM(D$23*$G152,D$24*$H152,D$25*$I152,D$26*$J152,D$27*$K152)/100</f>
        <v>7.7424157303370791</v>
      </c>
      <c r="M152" s="22" t="n">
        <f>SUM(E$23*$G152,E$24*$H152,E$25*$I152,E$26*$J152,E$27*$K152)/100</f>
        <v>4.0930954228083776</v>
      </c>
      <c r="N152" s="22" t="n">
        <f>SUM(F$23*$G152,F$24*$H152,F$25*$I152,F$26*$J152,F$27*$K152)/100</f>
        <v>3.9213458299201753</v>
      </c>
      <c r="O152" s="51" t="str">
        <f>IF(COUNTIF(L152:N152,MAX(L152:N152))&gt;1,"Tie",INDEX($L$34:$N$34,1,MATCH(MAX(L152:N152),L152:N152,0)))</f>
        <v>ARUCO</v>
      </c>
    </row>
    <row r="153">
      <c r="A153" s="47" t="s">
        <v>166</v>
      </c>
      <c r="B153" s="53" t="n">
        <f>$C$17</f>
        <v>8</v>
      </c>
      <c r="C153" s="53" t="n">
        <f>$C$16</f>
        <v>9</v>
      </c>
      <c r="D153" s="53" t="n">
        <f>$C$15</f>
        <v>7</v>
      </c>
      <c r="E153" s="53" t="n">
        <f>$C$13</f>
        <v>6</v>
      </c>
      <c r="F153" s="53" t="n">
        <f>$C$14</f>
        <v>10</v>
      </c>
      <c r="G153" s="23" t="n">
        <f>B153/$C$18*100</f>
        <v>20</v>
      </c>
      <c r="H153" s="50" t="n">
        <f>C153/$C$18*100</f>
        <v>22.5</v>
      </c>
      <c r="I153" s="50" t="n">
        <f>D153/$C$18*100</f>
        <v>17.5</v>
      </c>
      <c r="J153" s="50" t="n">
        <f>E153/$C$18*100</f>
        <v>15</v>
      </c>
      <c r="K153" s="50" t="n">
        <f>F153/$C$18*100</f>
        <v>25</v>
      </c>
      <c r="L153" s="22" t="n">
        <f>SUM(D$23*$G153,D$24*$H153,D$25*$I153,D$26*$J153,D$27*$K153)/100</f>
        <v>7.5123595505617988</v>
      </c>
      <c r="M153" s="22" t="n">
        <f>SUM(E$23*$G153,E$24*$H153,E$25*$I153,E$26*$J153,E$27*$K153)/100</f>
        <v>3.8680954228083779</v>
      </c>
      <c r="N153" s="22" t="n">
        <f>SUM(F$23*$G153,F$24*$H153,F$25*$I153,F$26*$J153,F$27*$K153)/100</f>
        <v>4.6134468409065388</v>
      </c>
      <c r="O153" s="51" t="str">
        <f>IF(COUNTIF(L153:N153,MAX(L153:N153))&gt;1,"Tie",INDEX($L$34:$N$34,1,MATCH(MAX(L153:N153),L153:N153,0)))</f>
        <v>ARUCO</v>
      </c>
    </row>
    <row r="154">
      <c r="A154" s="47" t="s">
        <v>167</v>
      </c>
      <c r="B154" s="53" t="n">
        <f>$C$17</f>
        <v>8</v>
      </c>
      <c r="C154" s="53" t="n">
        <f>$C$16</f>
        <v>9</v>
      </c>
      <c r="D154" s="53" t="n">
        <f>$C$15</f>
        <v>7</v>
      </c>
      <c r="E154" s="53" t="n">
        <f>$C$14</f>
        <v>10</v>
      </c>
      <c r="F154" s="53" t="n">
        <f>$C$13</f>
        <v>6</v>
      </c>
      <c r="G154" s="23" t="n">
        <f>B154/$C$18*100</f>
        <v>20</v>
      </c>
      <c r="H154" s="50" t="n">
        <f>C154/$C$18*100</f>
        <v>22.5</v>
      </c>
      <c r="I154" s="50" t="n">
        <f>D154/$C$18*100</f>
        <v>17.5</v>
      </c>
      <c r="J154" s="50" t="n">
        <f>E154/$C$18*100</f>
        <v>25</v>
      </c>
      <c r="K154" s="50" t="n">
        <f>F154/$C$18*100</f>
        <v>15</v>
      </c>
      <c r="L154" s="22" t="n">
        <f>SUM(D$23*$G154,D$24*$H154,D$25*$I154,D$26*$J154,D$27*$K154)/100</f>
        <v>7.0674157303370793</v>
      </c>
      <c r="M154" s="22" t="n">
        <f>SUM(E$23*$G154,E$24*$H154,E$25*$I154,E$26*$J154,E$27*$K154)/100</f>
        <v>4.7680954228083774</v>
      </c>
      <c r="N154" s="22" t="n">
        <f>SUM(F$23*$G154,F$24*$H154,F$25*$I154,F$26*$J154,F$27*$K154)/100</f>
        <v>3.8555892974404715</v>
      </c>
      <c r="O154" s="51" t="str">
        <f>IF(COUNTIF(L154:N154,MAX(L154:N154))&gt;1,"Tie",INDEX($L$34:$N$34,1,MATCH(MAX(L154:N154),L154:N154,0)))</f>
        <v>ARUCO</v>
      </c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16"/>
      <c r="C316" s="16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  <row r="1000">
      <c r="A1000" s="3"/>
      <c r="B1000" s="3"/>
      <c r="C1000" s="3"/>
      <c r="D1000" s="3"/>
      <c r="E1000" s="3"/>
      <c r="F1000" s="3"/>
      <c r="G1000" s="3"/>
    </row>
    <row r="1001">
      <c r="A1001" s="3"/>
      <c r="B1001" s="3"/>
      <c r="C1001" s="3"/>
      <c r="D1001" s="3"/>
      <c r="E1001" s="3"/>
      <c r="F1001" s="3"/>
      <c r="G1001" s="3"/>
    </row>
    <row r="1002">
      <c r="A1002" s="3"/>
      <c r="B1002" s="3"/>
      <c r="C1002" s="3"/>
      <c r="D1002" s="3"/>
      <c r="E1002" s="3"/>
      <c r="F1002" s="3"/>
      <c r="G1002" s="3"/>
    </row>
    <row r="1003">
      <c r="A1003" s="3"/>
      <c r="B1003" s="3"/>
      <c r="C1003" s="3"/>
      <c r="D1003" s="3"/>
      <c r="E1003" s="3"/>
      <c r="F1003" s="3"/>
      <c r="G1003" s="3"/>
    </row>
  </sheetData>
  <mergeCells count="19">
    <mergeCell ref="D21:F21"/>
    <mergeCell ref="L21:N21"/>
    <mergeCell ref="O21:Q21"/>
    <mergeCell ref="A2:A3"/>
    <mergeCell ref="B2:D2"/>
    <mergeCell ref="A11:A12"/>
    <mergeCell ref="B11:B12"/>
    <mergeCell ref="C11:D11"/>
    <mergeCell ref="A21:A22"/>
    <mergeCell ref="B21:C21"/>
    <mergeCell ref="G33:K33"/>
    <mergeCell ref="L33:N33"/>
    <mergeCell ref="A32:A33"/>
    <mergeCell ref="B32:F32"/>
    <mergeCell ref="G32:K32"/>
    <mergeCell ref="L32:N32"/>
    <mergeCell ref="P32:R33"/>
    <mergeCell ref="S32:U33"/>
    <mergeCell ref="B33:F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5.63"/>
  </cols>
  <sheetData>
    <row r="1">
      <c r="A1" s="1" t="s">
        <v>0</v>
      </c>
      <c r="B1" s="2"/>
      <c r="C1" s="2"/>
      <c r="D1" s="2"/>
      <c r="E1" s="3"/>
      <c r="F1" s="3"/>
      <c r="G1" s="3"/>
    </row>
    <row r="2">
      <c r="A2" s="4" t="s">
        <v>1</v>
      </c>
      <c r="B2" s="5" t="s">
        <v>2</v>
      </c>
      <c r="C2" s="6"/>
      <c r="D2" s="6"/>
      <c r="E2" s="7"/>
      <c r="F2" s="3"/>
      <c r="G2" s="3"/>
    </row>
    <row r="3">
      <c r="A3" s="8"/>
      <c r="B3" s="9" t="s">
        <v>5</v>
      </c>
      <c r="C3" s="9" t="s">
        <v>7</v>
      </c>
      <c r="D3" s="9" t="s">
        <v>10</v>
      </c>
      <c r="F3" s="3"/>
      <c r="G3" s="3"/>
    </row>
    <row r="4">
      <c r="A4" s="11" t="s">
        <v>13</v>
      </c>
      <c r="B4" s="12">
        <v>0.11</v>
      </c>
      <c r="C4" s="12">
        <v>0.02</v>
      </c>
      <c r="D4" s="12">
        <v>0.08</v>
      </c>
      <c r="F4" s="3"/>
      <c r="G4" s="3"/>
    </row>
    <row r="5">
      <c r="A5" s="11" t="s">
        <v>16</v>
      </c>
      <c r="B5" s="12">
        <v>9.26</v>
      </c>
      <c r="C5" s="12">
        <v>30.24</v>
      </c>
      <c r="D5" s="12">
        <v>56.94</v>
      </c>
      <c r="F5" s="3"/>
      <c r="G5" s="3"/>
    </row>
    <row r="6">
      <c r="A6" s="11" t="s">
        <v>19</v>
      </c>
      <c r="B6" s="12">
        <v>5.97</v>
      </c>
      <c r="C6" s="12">
        <v>300.0</v>
      </c>
      <c r="D6" s="12">
        <v>158.94</v>
      </c>
      <c r="F6" s="3"/>
      <c r="G6" s="3"/>
    </row>
    <row r="7">
      <c r="A7" s="11" t="s">
        <v>22</v>
      </c>
      <c r="B7" s="12">
        <v>100.08</v>
      </c>
      <c r="C7" s="12">
        <v>495.78</v>
      </c>
      <c r="D7" s="12">
        <v>393.75</v>
      </c>
      <c r="F7" s="16"/>
      <c r="G7" s="3"/>
    </row>
    <row r="8">
      <c r="A8" s="11" t="s">
        <v>26</v>
      </c>
      <c r="B8" s="12">
        <v>48.31</v>
      </c>
      <c r="C8" s="12">
        <v>42.73</v>
      </c>
      <c r="D8" s="12">
        <v>37.87</v>
      </c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17" t="s">
        <v>28</v>
      </c>
      <c r="B10" s="18"/>
      <c r="C10" s="3"/>
      <c r="D10" s="3"/>
      <c r="E10" s="3"/>
      <c r="F10" s="3"/>
      <c r="G10" s="3"/>
    </row>
    <row r="11">
      <c r="A11" s="4" t="s">
        <v>1</v>
      </c>
      <c r="B11" s="4" t="s">
        <v>29</v>
      </c>
      <c r="C11" s="19" t="s">
        <v>30</v>
      </c>
      <c r="D11" s="20"/>
      <c r="E11" s="3"/>
      <c r="F11" s="3"/>
      <c r="G11" s="3"/>
    </row>
    <row r="12">
      <c r="A12" s="8"/>
      <c r="B12" s="8"/>
      <c r="C12" s="9" t="s">
        <v>31</v>
      </c>
      <c r="D12" s="9" t="s">
        <v>32</v>
      </c>
      <c r="E12" s="3"/>
      <c r="F12" s="3"/>
      <c r="G12" s="3"/>
    </row>
    <row r="13">
      <c r="A13" s="11" t="s">
        <v>13</v>
      </c>
      <c r="B13" s="21" t="s">
        <v>34</v>
      </c>
      <c r="C13" s="21">
        <v>7.0</v>
      </c>
      <c r="D13" s="22">
        <f t="shared" ref="D13:D17" si="1">(C13/$C$18)*100</f>
        <v>17.5</v>
      </c>
      <c r="E13" s="3"/>
      <c r="F13" s="3"/>
      <c r="G13" s="3"/>
    </row>
    <row r="14">
      <c r="A14" s="11" t="s">
        <v>16</v>
      </c>
      <c r="B14" s="21" t="s">
        <v>34</v>
      </c>
      <c r="C14" s="21">
        <v>8.0</v>
      </c>
      <c r="D14" s="22">
        <f t="shared" si="1"/>
        <v>20</v>
      </c>
      <c r="E14" s="3"/>
      <c r="F14" s="3"/>
      <c r="G14" s="3"/>
    </row>
    <row r="15">
      <c r="A15" s="11" t="s">
        <v>19</v>
      </c>
      <c r="B15" s="21" t="s">
        <v>33</v>
      </c>
      <c r="C15" s="21">
        <v>10.0</v>
      </c>
      <c r="D15" s="22">
        <f t="shared" si="1"/>
        <v>25</v>
      </c>
      <c r="E15" s="3"/>
      <c r="F15" s="3"/>
      <c r="G15" s="3"/>
    </row>
    <row r="16">
      <c r="A16" s="11" t="s">
        <v>22</v>
      </c>
      <c r="B16" s="21" t="s">
        <v>33</v>
      </c>
      <c r="C16" s="21">
        <v>9.0</v>
      </c>
      <c r="D16" s="22">
        <f t="shared" si="1"/>
        <v>22.5</v>
      </c>
      <c r="E16" s="3"/>
      <c r="F16" s="3"/>
      <c r="G16" s="3"/>
    </row>
    <row r="17">
      <c r="A17" s="11" t="str">
        <f>A8</f>
        <v>Cost (Resource Utilization)</v>
      </c>
      <c r="B17" s="21" t="s">
        <v>34</v>
      </c>
      <c r="C17" s="21">
        <v>6.0</v>
      </c>
      <c r="D17" s="22">
        <f t="shared" si="1"/>
        <v>15</v>
      </c>
      <c r="E17" s="3"/>
      <c r="F17" s="3"/>
      <c r="G17" s="3"/>
    </row>
    <row r="18">
      <c r="A18" s="21" t="s">
        <v>35</v>
      </c>
      <c r="B18" s="23"/>
      <c r="C18" s="22">
        <f t="shared" ref="C18:D18" si="2">sum(C13:C17)</f>
        <v>40</v>
      </c>
      <c r="D18" s="22">
        <f t="shared" si="2"/>
        <v>100</v>
      </c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24" t="s">
        <v>36</v>
      </c>
    </row>
    <row r="21">
      <c r="A21" s="25" t="s">
        <v>1</v>
      </c>
      <c r="B21" s="19" t="s">
        <v>30</v>
      </c>
      <c r="C21" s="20"/>
      <c r="D21" s="26" t="s">
        <v>2</v>
      </c>
      <c r="E21" s="6"/>
      <c r="F21" s="20"/>
      <c r="G21" s="27"/>
      <c r="L21" s="28"/>
      <c r="O21" s="29"/>
    </row>
    <row r="22">
      <c r="A22" s="8"/>
      <c r="B22" s="9" t="s">
        <v>31</v>
      </c>
      <c r="C22" s="9" t="s">
        <v>32</v>
      </c>
      <c r="D22" s="9" t="str">
        <f t="shared" ref="D22:F22" si="3">B3</f>
        <v>EasyOCR</v>
      </c>
      <c r="E22" s="9" t="str">
        <f t="shared" si="3"/>
        <v>Pyteserract</v>
      </c>
      <c r="F22" s="9" t="str">
        <f t="shared" si="3"/>
        <v>Hybrid</v>
      </c>
      <c r="L22" s="30"/>
      <c r="M22" s="30"/>
      <c r="N22" s="30"/>
      <c r="O22" s="31"/>
      <c r="P22" s="31"/>
      <c r="Q22" s="31"/>
    </row>
    <row r="23">
      <c r="A23" s="32" t="str">
        <f t="shared" ref="A23:A27" si="6">A4</f>
        <v>Efficiency (Storage Consumption)</v>
      </c>
      <c r="B23" s="21">
        <f t="shared" ref="B23:C23" si="4">C13</f>
        <v>7</v>
      </c>
      <c r="C23" s="21">
        <f t="shared" si="4"/>
        <v>17.5</v>
      </c>
      <c r="D23" s="21">
        <f t="shared" ref="D23:F23" si="5">9*((max($B4:$D4)-B4)/(max($B4:$D4)-min($B4:$D4))) + 1</f>
        <v>1</v>
      </c>
      <c r="E23" s="21">
        <f t="shared" si="5"/>
        <v>10</v>
      </c>
      <c r="F23" s="21">
        <f t="shared" si="5"/>
        <v>4</v>
      </c>
      <c r="O23" s="31"/>
      <c r="P23" s="31"/>
      <c r="Q23" s="31"/>
    </row>
    <row r="24">
      <c r="A24" s="32" t="str">
        <f t="shared" si="6"/>
        <v>Performance (Latency)</v>
      </c>
      <c r="B24" s="21">
        <f t="shared" ref="B24:C24" si="7">C14</f>
        <v>8</v>
      </c>
      <c r="C24" s="21">
        <f t="shared" si="7"/>
        <v>20</v>
      </c>
      <c r="D24" s="21">
        <f t="shared" ref="D24:F24" si="8">9*((max($B5:$D5)-B5)/(max($B5:$D5)-min($B5:$D5))) + 1</f>
        <v>10</v>
      </c>
      <c r="E24" s="21">
        <f t="shared" si="8"/>
        <v>6.039848993</v>
      </c>
      <c r="F24" s="21">
        <f t="shared" si="8"/>
        <v>1</v>
      </c>
      <c r="O24" s="31"/>
      <c r="P24" s="31"/>
      <c r="Q24" s="31"/>
    </row>
    <row r="25">
      <c r="A25" s="32" t="str">
        <f t="shared" si="6"/>
        <v>Functionality (Extraction Accuracy)</v>
      </c>
      <c r="B25" s="21">
        <f t="shared" ref="B25:C25" si="9">C15</f>
        <v>10</v>
      </c>
      <c r="C25" s="21">
        <f t="shared" si="9"/>
        <v>25</v>
      </c>
      <c r="D25" s="21">
        <f t="shared" ref="D25:D26" si="12">9* ((max($B6:$D6) - B6)/(max($B6:$D6) - min($B6:$D6)))+ 1</f>
        <v>10</v>
      </c>
      <c r="E25" s="21">
        <f t="shared" ref="E25:F25" si="10">9*((max($B6:$D6)-C6)/(max($B6:$D6)-min($B6:$D6))) + 1</f>
        <v>1</v>
      </c>
      <c r="F25" s="21">
        <f t="shared" si="10"/>
        <v>5.317722681</v>
      </c>
      <c r="O25" s="31"/>
      <c r="P25" s="31"/>
      <c r="Q25" s="31"/>
    </row>
    <row r="26">
      <c r="A26" s="32" t="str">
        <f t="shared" si="6"/>
        <v>Compatibility (Maintanability Index Score)</v>
      </c>
      <c r="B26" s="21">
        <f t="shared" ref="B26:C26" si="11">C16</f>
        <v>9</v>
      </c>
      <c r="C26" s="21">
        <f t="shared" si="11"/>
        <v>22.5</v>
      </c>
      <c r="D26" s="21">
        <f t="shared" si="12"/>
        <v>10</v>
      </c>
      <c r="E26" s="21">
        <f t="shared" ref="E26:F26" si="13">9*((max($B7:$D7)-C7)/(max($B7:$D7)-min($B7:$D7))) + 1</f>
        <v>1</v>
      </c>
      <c r="F26" s="21">
        <f t="shared" si="13"/>
        <v>3.320621683</v>
      </c>
      <c r="O26" s="31"/>
      <c r="P26" s="31"/>
      <c r="Q26" s="31"/>
    </row>
    <row r="27">
      <c r="A27" s="32" t="str">
        <f t="shared" si="6"/>
        <v>Cost (Resource Utilization)</v>
      </c>
      <c r="B27" s="21">
        <f t="shared" ref="B27:C27" si="14">C17</f>
        <v>6</v>
      </c>
      <c r="C27" s="21">
        <f t="shared" si="14"/>
        <v>15</v>
      </c>
      <c r="D27" s="21">
        <f>9*(B8-(MIN($B8:$D8))/(max($B8:$D8)-min($B8:$D8))) + 1</f>
        <v>403.1434483</v>
      </c>
      <c r="E27" s="21">
        <f>9*(C8 - (AND($B8:$D8))/(max($B8:$D8)-min($B8:$D8))) + 1</f>
        <v>384.707931</v>
      </c>
      <c r="F27" s="21">
        <f>9*((max($B8:$D8)-D8)/(max($B8:$D8)-min($B8:$D8))) + 1</f>
        <v>10</v>
      </c>
      <c r="O27" s="31"/>
      <c r="P27" s="31"/>
      <c r="Q27" s="31"/>
    </row>
    <row r="28">
      <c r="A28" s="21" t="s">
        <v>35</v>
      </c>
      <c r="B28" s="21">
        <f t="shared" ref="B28:C28" si="15">C18</f>
        <v>40</v>
      </c>
      <c r="C28" s="21">
        <f t="shared" si="15"/>
        <v>100</v>
      </c>
      <c r="D28" s="22">
        <f t="shared" ref="D28:F28" si="16">SUMPRODUCT(D23:D27,($C$23:$C$27)/100)</f>
        <v>67.39651724</v>
      </c>
      <c r="E28" s="22">
        <f t="shared" si="16"/>
        <v>61.13915945</v>
      </c>
      <c r="F28" s="22">
        <f t="shared" si="16"/>
        <v>4.476570549</v>
      </c>
      <c r="O28" s="31"/>
      <c r="P28" s="31"/>
      <c r="Q28" s="31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24" t="s">
        <v>37</v>
      </c>
    </row>
    <row r="32">
      <c r="A32" s="33"/>
      <c r="B32" s="34" t="s">
        <v>38</v>
      </c>
      <c r="C32" s="6"/>
      <c r="D32" s="6"/>
      <c r="E32" s="6"/>
      <c r="F32" s="6"/>
      <c r="G32" s="34"/>
      <c r="H32" s="6"/>
      <c r="I32" s="6"/>
      <c r="J32" s="6"/>
      <c r="K32" s="20"/>
      <c r="L32" s="26" t="s">
        <v>39</v>
      </c>
      <c r="M32" s="6"/>
      <c r="N32" s="6"/>
      <c r="O32" s="35"/>
      <c r="P32" s="36" t="s">
        <v>40</v>
      </c>
      <c r="Q32" s="37"/>
      <c r="R32" s="38"/>
      <c r="S32" s="39" t="s">
        <v>41</v>
      </c>
    </row>
    <row r="33">
      <c r="A33" s="40"/>
      <c r="B33" s="41" t="s">
        <v>31</v>
      </c>
      <c r="C33" s="6"/>
      <c r="D33" s="6"/>
      <c r="E33" s="6"/>
      <c r="F33" s="20"/>
      <c r="G33" s="26" t="s">
        <v>42</v>
      </c>
      <c r="H33" s="6"/>
      <c r="I33" s="6"/>
      <c r="J33" s="6"/>
      <c r="K33" s="20"/>
      <c r="L33" s="19" t="s">
        <v>43</v>
      </c>
      <c r="M33" s="6"/>
      <c r="N33" s="6"/>
      <c r="O33" s="9"/>
      <c r="P33" s="42"/>
      <c r="Q33" s="43"/>
      <c r="R33" s="40"/>
    </row>
    <row r="34">
      <c r="A34" s="44" t="s">
        <v>44</v>
      </c>
      <c r="B34" s="45" t="s">
        <v>45</v>
      </c>
      <c r="C34" s="45" t="s">
        <v>13</v>
      </c>
      <c r="D34" s="45" t="s">
        <v>16</v>
      </c>
      <c r="E34" s="46" t="s">
        <v>46</v>
      </c>
      <c r="F34" s="46" t="s">
        <v>22</v>
      </c>
      <c r="G34" s="45" t="s">
        <v>45</v>
      </c>
      <c r="H34" s="45" t="s">
        <v>13</v>
      </c>
      <c r="I34" s="45" t="s">
        <v>16</v>
      </c>
      <c r="J34" s="46" t="s">
        <v>46</v>
      </c>
      <c r="K34" s="46" t="s">
        <v>22</v>
      </c>
      <c r="L34" s="9" t="str">
        <f t="shared" ref="L34:N34" si="17">B3</f>
        <v>EasyOCR</v>
      </c>
      <c r="M34" s="9" t="str">
        <f t="shared" si="17"/>
        <v>Pyteserract</v>
      </c>
      <c r="N34" s="9" t="str">
        <f t="shared" si="17"/>
        <v>Hybrid</v>
      </c>
      <c r="O34" s="9" t="s">
        <v>47</v>
      </c>
      <c r="P34" s="9" t="str">
        <f t="shared" ref="P34:U34" si="18">L34</f>
        <v>EasyOCR</v>
      </c>
      <c r="Q34" s="9" t="str">
        <f t="shared" si="18"/>
        <v>Pyteserract</v>
      </c>
      <c r="R34" s="9" t="str">
        <f t="shared" si="18"/>
        <v>Hybrid</v>
      </c>
      <c r="S34" s="9" t="str">
        <f t="shared" si="18"/>
        <v>Winners</v>
      </c>
      <c r="T34" s="9" t="str">
        <f t="shared" si="18"/>
        <v>EasyOCR</v>
      </c>
      <c r="U34" s="9" t="str">
        <f t="shared" si="18"/>
        <v>Pyteserract</v>
      </c>
    </row>
    <row r="35">
      <c r="A35" s="47" t="s">
        <v>48</v>
      </c>
      <c r="B35" s="48">
        <f>PERMUTE(C13:C17)
</f>
        <v>7</v>
      </c>
      <c r="C35" s="48">
        <v>8.0</v>
      </c>
      <c r="D35" s="48">
        <v>10.0</v>
      </c>
      <c r="E35" s="49">
        <v>9.0</v>
      </c>
      <c r="F35" s="49">
        <v>6.0</v>
      </c>
      <c r="G35" s="50">
        <f>PERMUTE(D13:D17)
</f>
        <v>17.5</v>
      </c>
      <c r="H35" s="50">
        <v>20.0</v>
      </c>
      <c r="I35" s="50">
        <v>25.0</v>
      </c>
      <c r="J35" s="50">
        <v>22.5</v>
      </c>
      <c r="K35" s="50">
        <v>15.0</v>
      </c>
      <c r="L35" s="22">
        <f t="shared" ref="L35:N35" si="19">SUMPRODUCT(transpose(D$23:D$27),($G35:$K35)/100)</f>
        <v>67.39651724</v>
      </c>
      <c r="M35" s="22">
        <f t="shared" si="19"/>
        <v>61.13915945</v>
      </c>
      <c r="N35" s="22">
        <f t="shared" si="19"/>
        <v>4.476570549</v>
      </c>
      <c r="O35" s="3" t="str">
        <f t="shared" ref="O35:O154" si="23">INDEX($L$34:$N$34, MATCH(MAX(L35:N35), L35:N35, 0))
</f>
        <v>EasyOCR</v>
      </c>
      <c r="P35" s="51">
        <f t="shared" ref="P35:R35" si="20">COUNTIF($O$35:$O$154,L34)</f>
        <v>120</v>
      </c>
      <c r="Q35" s="51">
        <f t="shared" si="20"/>
        <v>0</v>
      </c>
      <c r="R35" s="51">
        <f t="shared" si="20"/>
        <v>0</v>
      </c>
      <c r="S35" s="51">
        <f t="shared" ref="S35:U35" si="21">STDEVA(L35:L154)</f>
        <v>14.04129189</v>
      </c>
      <c r="T35" s="51">
        <f t="shared" si="21"/>
        <v>13.50172241</v>
      </c>
      <c r="U35" s="51">
        <f t="shared" si="21"/>
        <v>0.2649434239</v>
      </c>
    </row>
    <row r="36">
      <c r="A36" s="47" t="s">
        <v>49</v>
      </c>
      <c r="B36" s="48">
        <v>7.0</v>
      </c>
      <c r="C36" s="48">
        <v>8.0</v>
      </c>
      <c r="D36" s="48">
        <v>10.0</v>
      </c>
      <c r="E36" s="49">
        <v>6.0</v>
      </c>
      <c r="F36" s="49">
        <v>9.0</v>
      </c>
      <c r="G36" s="50">
        <v>17.5</v>
      </c>
      <c r="H36" s="50">
        <v>20.0</v>
      </c>
      <c r="I36" s="50">
        <v>25.0</v>
      </c>
      <c r="J36" s="50">
        <v>15.0</v>
      </c>
      <c r="K36" s="50">
        <v>22.5</v>
      </c>
      <c r="L36" s="22">
        <f t="shared" ref="L36:N36" si="22">SUMPRODUCT(transpose(D$23:D$27),($G36:$K36)/100)</f>
        <v>96.88227586</v>
      </c>
      <c r="M36" s="22">
        <f t="shared" si="22"/>
        <v>89.91725428</v>
      </c>
      <c r="N36" s="22">
        <f t="shared" si="22"/>
        <v>4.977523923</v>
      </c>
      <c r="O36" s="51" t="str">
        <f t="shared" si="23"/>
        <v>EasyOCR</v>
      </c>
    </row>
    <row r="37">
      <c r="A37" s="47" t="s">
        <v>50</v>
      </c>
      <c r="B37" s="48">
        <v>7.0</v>
      </c>
      <c r="C37" s="48">
        <v>8.0</v>
      </c>
      <c r="D37" s="48">
        <v>9.0</v>
      </c>
      <c r="E37" s="49">
        <v>10.0</v>
      </c>
      <c r="F37" s="49">
        <v>6.0</v>
      </c>
      <c r="G37" s="50">
        <v>17.5</v>
      </c>
      <c r="H37" s="50">
        <v>20.0</v>
      </c>
      <c r="I37" s="50">
        <v>22.5</v>
      </c>
      <c r="J37" s="50">
        <v>25.0</v>
      </c>
      <c r="K37" s="50">
        <v>15.0</v>
      </c>
      <c r="L37" s="22">
        <f t="shared" ref="L37:N37" si="24">SUMPRODUCT(transpose(D$23:D$27),($G37:$K37)/100)</f>
        <v>67.39651724</v>
      </c>
      <c r="M37" s="22">
        <f t="shared" si="24"/>
        <v>61.13915945</v>
      </c>
      <c r="N37" s="22">
        <f t="shared" si="24"/>
        <v>4.426643024</v>
      </c>
      <c r="O37" s="51" t="str">
        <f t="shared" si="23"/>
        <v>EasyOCR</v>
      </c>
    </row>
    <row r="38">
      <c r="A38" s="47" t="s">
        <v>51</v>
      </c>
      <c r="B38" s="48">
        <v>7.0</v>
      </c>
      <c r="C38" s="48">
        <v>8.0</v>
      </c>
      <c r="D38" s="48">
        <v>9.0</v>
      </c>
      <c r="E38" s="49">
        <v>6.0</v>
      </c>
      <c r="F38" s="49">
        <v>10.0</v>
      </c>
      <c r="G38" s="50">
        <v>17.5</v>
      </c>
      <c r="H38" s="50">
        <v>20.0</v>
      </c>
      <c r="I38" s="50">
        <v>22.5</v>
      </c>
      <c r="J38" s="50">
        <v>15.0</v>
      </c>
      <c r="K38" s="50">
        <v>25.0</v>
      </c>
      <c r="L38" s="22">
        <f t="shared" ref="L38:N38" si="25">SUMPRODUCT(transpose(D$23:D$27),($G38:$K38)/100)</f>
        <v>106.7108621</v>
      </c>
      <c r="M38" s="22">
        <f t="shared" si="25"/>
        <v>99.50995256</v>
      </c>
      <c r="N38" s="22">
        <f t="shared" si="25"/>
        <v>5.094580856</v>
      </c>
      <c r="O38" s="51" t="str">
        <f t="shared" si="23"/>
        <v>EasyOCR</v>
      </c>
    </row>
    <row r="39">
      <c r="A39" s="47" t="s">
        <v>52</v>
      </c>
      <c r="B39" s="48">
        <v>7.0</v>
      </c>
      <c r="C39" s="48">
        <v>8.0</v>
      </c>
      <c r="D39" s="48">
        <v>6.0</v>
      </c>
      <c r="E39" s="49">
        <v>10.0</v>
      </c>
      <c r="F39" s="49">
        <v>9.0</v>
      </c>
      <c r="G39" s="50">
        <v>17.5</v>
      </c>
      <c r="H39" s="50">
        <v>20.0</v>
      </c>
      <c r="I39" s="50">
        <v>15.0</v>
      </c>
      <c r="J39" s="50">
        <v>25.0</v>
      </c>
      <c r="K39" s="50">
        <v>22.5</v>
      </c>
      <c r="L39" s="22">
        <f t="shared" ref="L39:N39" si="26">SUMPRODUCT(transpose(D$23:D$27),($G39:$K39)/100)</f>
        <v>96.88227586</v>
      </c>
      <c r="M39" s="22">
        <f t="shared" si="26"/>
        <v>89.91725428</v>
      </c>
      <c r="N39" s="22">
        <f t="shared" si="26"/>
        <v>4.777813823</v>
      </c>
      <c r="O39" s="52" t="str">
        <f t="shared" si="23"/>
        <v>EasyOCR</v>
      </c>
    </row>
    <row r="40">
      <c r="A40" s="47" t="s">
        <v>53</v>
      </c>
      <c r="B40" s="48">
        <v>7.0</v>
      </c>
      <c r="C40" s="48">
        <v>8.0</v>
      </c>
      <c r="D40" s="48">
        <v>6.0</v>
      </c>
      <c r="E40" s="49">
        <v>9.0</v>
      </c>
      <c r="F40" s="49">
        <v>10.0</v>
      </c>
      <c r="G40" s="50">
        <v>17.5</v>
      </c>
      <c r="H40" s="50">
        <v>20.0</v>
      </c>
      <c r="I40" s="50">
        <v>15.0</v>
      </c>
      <c r="J40" s="50">
        <v>22.5</v>
      </c>
      <c r="K40" s="50">
        <v>25.0</v>
      </c>
      <c r="L40" s="22">
        <f t="shared" ref="L40:N40" si="27">SUMPRODUCT(transpose(D$23:D$27),($G40:$K40)/100)</f>
        <v>106.7108621</v>
      </c>
      <c r="M40" s="22">
        <f t="shared" si="27"/>
        <v>99.50995256</v>
      </c>
      <c r="N40" s="22">
        <f t="shared" si="27"/>
        <v>4.944798281</v>
      </c>
      <c r="O40" s="51" t="str">
        <f t="shared" si="23"/>
        <v>EasyOCR</v>
      </c>
    </row>
    <row r="41">
      <c r="A41" s="47" t="s">
        <v>54</v>
      </c>
      <c r="B41" s="48">
        <v>7.0</v>
      </c>
      <c r="C41" s="48">
        <v>10.0</v>
      </c>
      <c r="D41" s="48">
        <v>8.0</v>
      </c>
      <c r="E41" s="49">
        <v>9.0</v>
      </c>
      <c r="F41" s="49">
        <v>6.0</v>
      </c>
      <c r="G41" s="50">
        <v>17.5</v>
      </c>
      <c r="H41" s="50">
        <v>25.0</v>
      </c>
      <c r="I41" s="50">
        <v>20.0</v>
      </c>
      <c r="J41" s="50">
        <v>22.5</v>
      </c>
      <c r="K41" s="50">
        <v>15.0</v>
      </c>
      <c r="L41" s="22">
        <f t="shared" ref="L41:N41" si="28">SUMPRODUCT(transpose(D$23:D$27),($G41:$K41)/100)</f>
        <v>67.39651724</v>
      </c>
      <c r="M41" s="22">
        <f t="shared" si="28"/>
        <v>61.3911519</v>
      </c>
      <c r="N41" s="22">
        <f t="shared" si="28"/>
        <v>4.260684415</v>
      </c>
      <c r="O41" s="51" t="str">
        <f t="shared" si="23"/>
        <v>EasyOCR</v>
      </c>
    </row>
    <row r="42">
      <c r="A42" s="47" t="s">
        <v>55</v>
      </c>
      <c r="B42" s="48">
        <v>7.0</v>
      </c>
      <c r="C42" s="48">
        <v>10.0</v>
      </c>
      <c r="D42" s="48">
        <v>8.0</v>
      </c>
      <c r="E42" s="49">
        <v>6.0</v>
      </c>
      <c r="F42" s="49">
        <v>9.0</v>
      </c>
      <c r="G42" s="50">
        <v>17.5</v>
      </c>
      <c r="H42" s="50">
        <v>25.0</v>
      </c>
      <c r="I42" s="50">
        <v>20.0</v>
      </c>
      <c r="J42" s="50">
        <v>15.0</v>
      </c>
      <c r="K42" s="50">
        <v>22.5</v>
      </c>
      <c r="L42" s="22">
        <f t="shared" ref="L42:N42" si="29">SUMPRODUCT(transpose(D$23:D$27),($G42:$K42)/100)</f>
        <v>96.88227586</v>
      </c>
      <c r="M42" s="22">
        <f t="shared" si="29"/>
        <v>90.16924673</v>
      </c>
      <c r="N42" s="22">
        <f t="shared" si="29"/>
        <v>4.761637789</v>
      </c>
      <c r="O42" s="51" t="str">
        <f t="shared" si="23"/>
        <v>EasyOCR</v>
      </c>
    </row>
    <row r="43">
      <c r="A43" s="47" t="s">
        <v>56</v>
      </c>
      <c r="B43" s="48">
        <v>7.0</v>
      </c>
      <c r="C43" s="48">
        <v>10.0</v>
      </c>
      <c r="D43" s="48">
        <v>9.0</v>
      </c>
      <c r="E43" s="49">
        <v>8.0</v>
      </c>
      <c r="F43" s="49">
        <v>6.0</v>
      </c>
      <c r="G43" s="50">
        <v>17.5</v>
      </c>
      <c r="H43" s="50">
        <v>25.0</v>
      </c>
      <c r="I43" s="50">
        <v>22.5</v>
      </c>
      <c r="J43" s="50">
        <v>20.0</v>
      </c>
      <c r="K43" s="50">
        <v>15.0</v>
      </c>
      <c r="L43" s="22">
        <f t="shared" ref="L43:N43" si="30">SUMPRODUCT(transpose(D$23:D$27),($G43:$K43)/100)</f>
        <v>67.39651724</v>
      </c>
      <c r="M43" s="22">
        <f t="shared" si="30"/>
        <v>61.3911519</v>
      </c>
      <c r="N43" s="22">
        <f t="shared" si="30"/>
        <v>4.31061194</v>
      </c>
      <c r="O43" s="51" t="str">
        <f t="shared" si="23"/>
        <v>EasyOCR</v>
      </c>
    </row>
    <row r="44">
      <c r="A44" s="47" t="s">
        <v>57</v>
      </c>
      <c r="B44" s="48">
        <v>7.0</v>
      </c>
      <c r="C44" s="48">
        <v>10.0</v>
      </c>
      <c r="D44" s="48">
        <v>9.0</v>
      </c>
      <c r="E44" s="49">
        <v>6.0</v>
      </c>
      <c r="F44" s="49">
        <v>8.0</v>
      </c>
      <c r="G44" s="50">
        <v>17.5</v>
      </c>
      <c r="H44" s="50">
        <v>25.0</v>
      </c>
      <c r="I44" s="50">
        <v>22.5</v>
      </c>
      <c r="J44" s="50">
        <v>15.0</v>
      </c>
      <c r="K44" s="50">
        <v>20.0</v>
      </c>
      <c r="L44" s="22">
        <f t="shared" ref="L44:N44" si="31">SUMPRODUCT(transpose(D$23:D$27),($G44:$K44)/100)</f>
        <v>87.05368966</v>
      </c>
      <c r="M44" s="22">
        <f t="shared" si="31"/>
        <v>80.57654846</v>
      </c>
      <c r="N44" s="22">
        <f t="shared" si="31"/>
        <v>4.644580856</v>
      </c>
      <c r="O44" s="51" t="str">
        <f t="shared" si="23"/>
        <v>EasyOCR</v>
      </c>
    </row>
    <row r="45">
      <c r="A45" s="47" t="s">
        <v>58</v>
      </c>
      <c r="B45" s="48">
        <v>7.0</v>
      </c>
      <c r="C45" s="48">
        <v>10.0</v>
      </c>
      <c r="D45" s="48">
        <v>6.0</v>
      </c>
      <c r="E45" s="49">
        <v>8.0</v>
      </c>
      <c r="F45" s="49">
        <v>9.0</v>
      </c>
      <c r="G45" s="50">
        <v>17.5</v>
      </c>
      <c r="H45" s="50">
        <v>25.0</v>
      </c>
      <c r="I45" s="50">
        <v>15.0</v>
      </c>
      <c r="J45" s="50">
        <v>20.0</v>
      </c>
      <c r="K45" s="50">
        <v>22.5</v>
      </c>
      <c r="L45" s="22">
        <f t="shared" ref="L45:N45" si="32">SUMPRODUCT(transpose(D$23:D$27),($G45:$K45)/100)</f>
        <v>96.88227586</v>
      </c>
      <c r="M45" s="22">
        <f t="shared" si="32"/>
        <v>90.16924673</v>
      </c>
      <c r="N45" s="22">
        <f t="shared" si="32"/>
        <v>4.661782739</v>
      </c>
      <c r="O45" s="51" t="str">
        <f t="shared" si="23"/>
        <v>EasyOCR</v>
      </c>
    </row>
    <row r="46">
      <c r="A46" s="47" t="s">
        <v>59</v>
      </c>
      <c r="B46" s="48">
        <v>7.0</v>
      </c>
      <c r="C46" s="48">
        <v>10.0</v>
      </c>
      <c r="D46" s="48">
        <v>6.0</v>
      </c>
      <c r="E46" s="49">
        <v>9.0</v>
      </c>
      <c r="F46" s="49">
        <v>8.0</v>
      </c>
      <c r="G46" s="50">
        <v>17.5</v>
      </c>
      <c r="H46" s="50">
        <v>25.0</v>
      </c>
      <c r="I46" s="50">
        <v>15.0</v>
      </c>
      <c r="J46" s="50">
        <v>22.5</v>
      </c>
      <c r="K46" s="50">
        <v>20.0</v>
      </c>
      <c r="L46" s="22">
        <f t="shared" ref="L46:N46" si="33">SUMPRODUCT(transpose(D$23:D$27),($G46:$K46)/100)</f>
        <v>87.05368966</v>
      </c>
      <c r="M46" s="22">
        <f t="shared" si="33"/>
        <v>80.57654846</v>
      </c>
      <c r="N46" s="22">
        <f t="shared" si="33"/>
        <v>4.494798281</v>
      </c>
      <c r="O46" s="51" t="str">
        <f t="shared" si="23"/>
        <v>EasyOCR</v>
      </c>
    </row>
    <row r="47">
      <c r="A47" s="47" t="s">
        <v>60</v>
      </c>
      <c r="B47" s="48">
        <v>7.0</v>
      </c>
      <c r="C47" s="48">
        <v>9.0</v>
      </c>
      <c r="D47" s="48">
        <v>8.0</v>
      </c>
      <c r="E47" s="49">
        <v>10.0</v>
      </c>
      <c r="F47" s="49">
        <v>6.0</v>
      </c>
      <c r="G47" s="50">
        <v>17.5</v>
      </c>
      <c r="H47" s="50">
        <v>22.5</v>
      </c>
      <c r="I47" s="50">
        <v>20.0</v>
      </c>
      <c r="J47" s="50">
        <v>25.0</v>
      </c>
      <c r="K47" s="50">
        <v>15.0</v>
      </c>
      <c r="L47" s="22">
        <f t="shared" ref="L47:N47" si="34">SUMPRODUCT(transpose(D$23:D$27),($G47:$K47)/100)</f>
        <v>67.39651724</v>
      </c>
      <c r="M47" s="22">
        <f t="shared" si="34"/>
        <v>61.26515568</v>
      </c>
      <c r="N47" s="22">
        <f t="shared" si="34"/>
        <v>4.318699957</v>
      </c>
      <c r="O47" s="51" t="str">
        <f t="shared" si="23"/>
        <v>EasyOCR</v>
      </c>
    </row>
    <row r="48">
      <c r="A48" s="47" t="s">
        <v>61</v>
      </c>
      <c r="B48" s="48">
        <v>7.0</v>
      </c>
      <c r="C48" s="48">
        <v>9.0</v>
      </c>
      <c r="D48" s="48">
        <v>8.0</v>
      </c>
      <c r="E48" s="49">
        <v>6.0</v>
      </c>
      <c r="F48" s="49">
        <v>10.0</v>
      </c>
      <c r="G48" s="50">
        <v>17.5</v>
      </c>
      <c r="H48" s="50">
        <v>22.5</v>
      </c>
      <c r="I48" s="50">
        <v>20.0</v>
      </c>
      <c r="J48" s="50">
        <v>15.0</v>
      </c>
      <c r="K48" s="50">
        <v>25.0</v>
      </c>
      <c r="L48" s="22">
        <f t="shared" ref="L48:N48" si="35">SUMPRODUCT(transpose(D$23:D$27),($G48:$K48)/100)</f>
        <v>106.7108621</v>
      </c>
      <c r="M48" s="22">
        <f t="shared" si="35"/>
        <v>99.63594878</v>
      </c>
      <c r="N48" s="22">
        <f t="shared" si="35"/>
        <v>4.986637789</v>
      </c>
      <c r="O48" s="51" t="str">
        <f t="shared" si="23"/>
        <v>EasyOCR</v>
      </c>
    </row>
    <row r="49">
      <c r="A49" s="47" t="s">
        <v>62</v>
      </c>
      <c r="B49" s="48">
        <v>7.0</v>
      </c>
      <c r="C49" s="48">
        <v>9.0</v>
      </c>
      <c r="D49" s="48">
        <v>10.0</v>
      </c>
      <c r="E49" s="49">
        <v>8.0</v>
      </c>
      <c r="F49" s="49">
        <v>6.0</v>
      </c>
      <c r="G49" s="50">
        <v>17.5</v>
      </c>
      <c r="H49" s="50">
        <v>22.5</v>
      </c>
      <c r="I49" s="50">
        <v>25.0</v>
      </c>
      <c r="J49" s="50">
        <v>20.0</v>
      </c>
      <c r="K49" s="50">
        <v>15.0</v>
      </c>
      <c r="L49" s="22">
        <f t="shared" ref="L49:N49" si="36">SUMPRODUCT(transpose(D$23:D$27),($G49:$K49)/100)</f>
        <v>67.39651724</v>
      </c>
      <c r="M49" s="22">
        <f t="shared" si="36"/>
        <v>61.26515568</v>
      </c>
      <c r="N49" s="22">
        <f t="shared" si="36"/>
        <v>4.418555007</v>
      </c>
      <c r="O49" s="51" t="str">
        <f t="shared" si="23"/>
        <v>EasyOCR</v>
      </c>
    </row>
    <row r="50">
      <c r="A50" s="47" t="s">
        <v>63</v>
      </c>
      <c r="B50" s="48">
        <v>7.0</v>
      </c>
      <c r="C50" s="48">
        <v>9.0</v>
      </c>
      <c r="D50" s="48">
        <v>10.0</v>
      </c>
      <c r="E50" s="49">
        <v>6.0</v>
      </c>
      <c r="F50" s="49">
        <v>8.0</v>
      </c>
      <c r="G50" s="50">
        <v>17.5</v>
      </c>
      <c r="H50" s="50">
        <v>22.5</v>
      </c>
      <c r="I50" s="50">
        <v>25.0</v>
      </c>
      <c r="J50" s="50">
        <v>15.0</v>
      </c>
      <c r="K50" s="50">
        <v>20.0</v>
      </c>
      <c r="L50" s="22">
        <f t="shared" ref="L50:N50" si="37">SUMPRODUCT(transpose(D$23:D$27),($G50:$K50)/100)</f>
        <v>87.05368966</v>
      </c>
      <c r="M50" s="22">
        <f t="shared" si="37"/>
        <v>80.45055223</v>
      </c>
      <c r="N50" s="22">
        <f t="shared" si="37"/>
        <v>4.752523923</v>
      </c>
      <c r="O50" s="51" t="str">
        <f t="shared" si="23"/>
        <v>EasyOCR</v>
      </c>
    </row>
    <row r="51">
      <c r="A51" s="47" t="s">
        <v>64</v>
      </c>
      <c r="B51" s="48">
        <v>7.0</v>
      </c>
      <c r="C51" s="48">
        <v>9.0</v>
      </c>
      <c r="D51" s="48">
        <v>6.0</v>
      </c>
      <c r="E51" s="49">
        <v>8.0</v>
      </c>
      <c r="F51" s="49">
        <v>10.0</v>
      </c>
      <c r="G51" s="50">
        <v>17.5</v>
      </c>
      <c r="H51" s="50">
        <v>22.5</v>
      </c>
      <c r="I51" s="50">
        <v>15.0</v>
      </c>
      <c r="J51" s="50">
        <v>20.0</v>
      </c>
      <c r="K51" s="50">
        <v>25.0</v>
      </c>
      <c r="L51" s="22">
        <f t="shared" ref="L51:N51" si="38">SUMPRODUCT(transpose(D$23:D$27),($G51:$K51)/100)</f>
        <v>106.7108621</v>
      </c>
      <c r="M51" s="22">
        <f t="shared" si="38"/>
        <v>99.63594878</v>
      </c>
      <c r="N51" s="22">
        <f t="shared" si="38"/>
        <v>4.886782739</v>
      </c>
      <c r="O51" s="51" t="str">
        <f t="shared" si="23"/>
        <v>EasyOCR</v>
      </c>
    </row>
    <row r="52">
      <c r="A52" s="47" t="s">
        <v>65</v>
      </c>
      <c r="B52" s="48">
        <v>7.0</v>
      </c>
      <c r="C52" s="48">
        <v>9.0</v>
      </c>
      <c r="D52" s="48">
        <v>6.0</v>
      </c>
      <c r="E52" s="49">
        <v>10.0</v>
      </c>
      <c r="F52" s="49">
        <v>8.0</v>
      </c>
      <c r="G52" s="50">
        <v>17.5</v>
      </c>
      <c r="H52" s="50">
        <v>22.5</v>
      </c>
      <c r="I52" s="50">
        <v>15.0</v>
      </c>
      <c r="J52" s="50">
        <v>25.0</v>
      </c>
      <c r="K52" s="50">
        <v>20.0</v>
      </c>
      <c r="L52" s="22">
        <f t="shared" ref="L52:N52" si="39">SUMPRODUCT(transpose(D$23:D$27),($G52:$K52)/100)</f>
        <v>87.05368966</v>
      </c>
      <c r="M52" s="22">
        <f t="shared" si="39"/>
        <v>80.45055223</v>
      </c>
      <c r="N52" s="22">
        <f t="shared" si="39"/>
        <v>4.552813823</v>
      </c>
      <c r="O52" s="51" t="str">
        <f t="shared" si="23"/>
        <v>EasyOCR</v>
      </c>
    </row>
    <row r="53">
      <c r="A53" s="47" t="s">
        <v>66</v>
      </c>
      <c r="B53" s="48">
        <v>7.0</v>
      </c>
      <c r="C53" s="48">
        <v>6.0</v>
      </c>
      <c r="D53" s="48">
        <v>8.0</v>
      </c>
      <c r="E53" s="49">
        <v>10.0</v>
      </c>
      <c r="F53" s="49">
        <v>9.0</v>
      </c>
      <c r="G53" s="50">
        <v>17.5</v>
      </c>
      <c r="H53" s="50">
        <v>15.0</v>
      </c>
      <c r="I53" s="50">
        <v>20.0</v>
      </c>
      <c r="J53" s="50">
        <v>25.0</v>
      </c>
      <c r="K53" s="50">
        <v>22.5</v>
      </c>
      <c r="L53" s="22">
        <f t="shared" ref="L53:N53" si="40">SUMPRODUCT(transpose(D$23:D$27),($G53:$K53)/100)</f>
        <v>96.88227586</v>
      </c>
      <c r="M53" s="22">
        <f t="shared" si="40"/>
        <v>89.66526183</v>
      </c>
      <c r="N53" s="22">
        <f t="shared" si="40"/>
        <v>4.993699957</v>
      </c>
      <c r="O53" s="51" t="str">
        <f t="shared" si="23"/>
        <v>EasyOCR</v>
      </c>
    </row>
    <row r="54">
      <c r="A54" s="47" t="s">
        <v>67</v>
      </c>
      <c r="B54" s="48">
        <v>7.0</v>
      </c>
      <c r="C54" s="48">
        <v>6.0</v>
      </c>
      <c r="D54" s="48">
        <v>8.0</v>
      </c>
      <c r="E54" s="49">
        <v>9.0</v>
      </c>
      <c r="F54" s="49">
        <v>10.0</v>
      </c>
      <c r="G54" s="50">
        <v>17.5</v>
      </c>
      <c r="H54" s="50">
        <v>15.0</v>
      </c>
      <c r="I54" s="50">
        <v>20.0</v>
      </c>
      <c r="J54" s="50">
        <v>22.5</v>
      </c>
      <c r="K54" s="50">
        <v>25.0</v>
      </c>
      <c r="L54" s="22">
        <f t="shared" ref="L54:N54" si="41">SUMPRODUCT(transpose(D$23:D$27),($G54:$K54)/100)</f>
        <v>106.7108621</v>
      </c>
      <c r="M54" s="22">
        <f t="shared" si="41"/>
        <v>99.25796011</v>
      </c>
      <c r="N54" s="22">
        <f t="shared" si="41"/>
        <v>5.160684415</v>
      </c>
      <c r="O54" s="51" t="str">
        <f t="shared" si="23"/>
        <v>EasyOCR</v>
      </c>
    </row>
    <row r="55">
      <c r="A55" s="47" t="s">
        <v>68</v>
      </c>
      <c r="B55" s="48">
        <v>7.0</v>
      </c>
      <c r="C55" s="48">
        <v>6.0</v>
      </c>
      <c r="D55" s="48">
        <v>10.0</v>
      </c>
      <c r="E55" s="49">
        <v>8.0</v>
      </c>
      <c r="F55" s="49">
        <v>9.0</v>
      </c>
      <c r="G55" s="50">
        <v>17.5</v>
      </c>
      <c r="H55" s="50">
        <v>15.0</v>
      </c>
      <c r="I55" s="50">
        <v>25.0</v>
      </c>
      <c r="J55" s="50">
        <v>20.0</v>
      </c>
      <c r="K55" s="50">
        <v>22.5</v>
      </c>
      <c r="L55" s="22">
        <f t="shared" ref="L55:N55" si="42">SUMPRODUCT(transpose(D$23:D$27),($G55:$K55)/100)</f>
        <v>96.88227586</v>
      </c>
      <c r="M55" s="22">
        <f t="shared" si="42"/>
        <v>89.66526183</v>
      </c>
      <c r="N55" s="22">
        <f t="shared" si="42"/>
        <v>5.093555007</v>
      </c>
      <c r="O55" s="51" t="str">
        <f t="shared" si="23"/>
        <v>EasyOCR</v>
      </c>
    </row>
    <row r="56">
      <c r="A56" s="47" t="s">
        <v>69</v>
      </c>
      <c r="B56" s="48">
        <v>7.0</v>
      </c>
      <c r="C56" s="48">
        <v>6.0</v>
      </c>
      <c r="D56" s="48">
        <v>10.0</v>
      </c>
      <c r="E56" s="49">
        <v>9.0</v>
      </c>
      <c r="F56" s="49">
        <v>8.0</v>
      </c>
      <c r="G56" s="50">
        <v>17.5</v>
      </c>
      <c r="H56" s="50">
        <v>15.0</v>
      </c>
      <c r="I56" s="50">
        <v>25.0</v>
      </c>
      <c r="J56" s="50">
        <v>22.5</v>
      </c>
      <c r="K56" s="50">
        <v>20.0</v>
      </c>
      <c r="L56" s="22">
        <f t="shared" ref="L56:N56" si="43">SUMPRODUCT(transpose(D$23:D$27),($G56:$K56)/100)</f>
        <v>87.05368966</v>
      </c>
      <c r="M56" s="22">
        <f t="shared" si="43"/>
        <v>80.07256356</v>
      </c>
      <c r="N56" s="22">
        <f t="shared" si="43"/>
        <v>4.926570549</v>
      </c>
      <c r="O56" s="51" t="str">
        <f t="shared" si="23"/>
        <v>EasyOCR</v>
      </c>
    </row>
    <row r="57">
      <c r="A57" s="47" t="s">
        <v>70</v>
      </c>
      <c r="B57" s="48">
        <v>7.0</v>
      </c>
      <c r="C57" s="48">
        <v>6.0</v>
      </c>
      <c r="D57" s="48">
        <v>9.0</v>
      </c>
      <c r="E57" s="49">
        <v>8.0</v>
      </c>
      <c r="F57" s="49">
        <v>10.0</v>
      </c>
      <c r="G57" s="50">
        <v>17.5</v>
      </c>
      <c r="H57" s="50">
        <v>15.0</v>
      </c>
      <c r="I57" s="50">
        <v>22.5</v>
      </c>
      <c r="J57" s="50">
        <v>20.0</v>
      </c>
      <c r="K57" s="50">
        <v>25.0</v>
      </c>
      <c r="L57" s="22">
        <f t="shared" ref="L57:N57" si="44">SUMPRODUCT(transpose(D$23:D$27),($G57:$K57)/100)</f>
        <v>106.7108621</v>
      </c>
      <c r="M57" s="22">
        <f t="shared" si="44"/>
        <v>99.25796011</v>
      </c>
      <c r="N57" s="22">
        <f t="shared" si="44"/>
        <v>5.21061194</v>
      </c>
      <c r="O57" s="51" t="str">
        <f t="shared" si="23"/>
        <v>EasyOCR</v>
      </c>
    </row>
    <row r="58">
      <c r="A58" s="47" t="s">
        <v>71</v>
      </c>
      <c r="B58" s="48">
        <v>7.0</v>
      </c>
      <c r="C58" s="48">
        <v>6.0</v>
      </c>
      <c r="D58" s="48">
        <v>9.0</v>
      </c>
      <c r="E58" s="49">
        <v>10.0</v>
      </c>
      <c r="F58" s="49">
        <v>8.0</v>
      </c>
      <c r="G58" s="50">
        <v>17.5</v>
      </c>
      <c r="H58" s="50">
        <v>15.0</v>
      </c>
      <c r="I58" s="50">
        <v>22.5</v>
      </c>
      <c r="J58" s="50">
        <v>25.0</v>
      </c>
      <c r="K58" s="50">
        <v>20.0</v>
      </c>
      <c r="L58" s="22">
        <f t="shared" ref="L58:N58" si="45">SUMPRODUCT(transpose(D$23:D$27),($G58:$K58)/100)</f>
        <v>87.05368966</v>
      </c>
      <c r="M58" s="22">
        <f t="shared" si="45"/>
        <v>80.07256356</v>
      </c>
      <c r="N58" s="22">
        <f t="shared" si="45"/>
        <v>4.876643024</v>
      </c>
      <c r="O58" s="51" t="str">
        <f t="shared" si="23"/>
        <v>EasyOCR</v>
      </c>
    </row>
    <row r="59">
      <c r="A59" s="47" t="s">
        <v>72</v>
      </c>
      <c r="B59" s="48">
        <v>8.0</v>
      </c>
      <c r="C59" s="48">
        <v>7.0</v>
      </c>
      <c r="D59" s="48">
        <v>10.0</v>
      </c>
      <c r="E59" s="49">
        <v>9.0</v>
      </c>
      <c r="F59" s="49">
        <v>6.0</v>
      </c>
      <c r="G59" s="50">
        <v>20.0</v>
      </c>
      <c r="H59" s="50">
        <v>17.5</v>
      </c>
      <c r="I59" s="50">
        <v>25.0</v>
      </c>
      <c r="J59" s="50">
        <v>22.5</v>
      </c>
      <c r="K59" s="50">
        <v>15.0</v>
      </c>
      <c r="L59" s="22">
        <f t="shared" ref="L59:N59" si="46">SUMPRODUCT(transpose(D$23:D$27),($G59:$K59)/100)</f>
        <v>67.17151724</v>
      </c>
      <c r="M59" s="22">
        <f t="shared" si="46"/>
        <v>61.23816323</v>
      </c>
      <c r="N59" s="22">
        <f t="shared" si="46"/>
        <v>4.551570549</v>
      </c>
      <c r="O59" s="51" t="str">
        <f t="shared" si="23"/>
        <v>EasyOCR</v>
      </c>
    </row>
    <row r="60">
      <c r="A60" s="47" t="s">
        <v>73</v>
      </c>
      <c r="B60" s="53">
        <v>8.0</v>
      </c>
      <c r="C60" s="53">
        <v>7.0</v>
      </c>
      <c r="D60" s="53">
        <v>10.0</v>
      </c>
      <c r="E60" s="53">
        <v>6.0</v>
      </c>
      <c r="F60" s="53">
        <v>9.0</v>
      </c>
      <c r="G60" s="23">
        <v>20.0</v>
      </c>
      <c r="H60" s="50">
        <v>17.5</v>
      </c>
      <c r="I60" s="50">
        <v>25.0</v>
      </c>
      <c r="J60" s="50">
        <v>15.0</v>
      </c>
      <c r="K60" s="50">
        <v>22.5</v>
      </c>
      <c r="L60" s="22">
        <f t="shared" ref="L60:N60" si="47">SUMPRODUCT(transpose(D$23:D$27),($G60:$K60)/100)</f>
        <v>96.65727586</v>
      </c>
      <c r="M60" s="22">
        <f t="shared" si="47"/>
        <v>90.01625806</v>
      </c>
      <c r="N60" s="22">
        <f t="shared" si="47"/>
        <v>5.052523923</v>
      </c>
      <c r="O60" s="51" t="str">
        <f t="shared" si="23"/>
        <v>EasyOCR</v>
      </c>
    </row>
    <row r="61">
      <c r="A61" s="47" t="s">
        <v>74</v>
      </c>
      <c r="B61" s="53">
        <v>8.0</v>
      </c>
      <c r="C61" s="53">
        <v>7.0</v>
      </c>
      <c r="D61" s="53">
        <v>9.0</v>
      </c>
      <c r="E61" s="53">
        <v>10.0</v>
      </c>
      <c r="F61" s="53">
        <v>6.0</v>
      </c>
      <c r="G61" s="23">
        <v>20.0</v>
      </c>
      <c r="H61" s="50">
        <v>17.5</v>
      </c>
      <c r="I61" s="50">
        <v>22.5</v>
      </c>
      <c r="J61" s="50">
        <v>25.0</v>
      </c>
      <c r="K61" s="50">
        <v>15.0</v>
      </c>
      <c r="L61" s="22">
        <f t="shared" ref="L61:N61" si="48">SUMPRODUCT(transpose(D$23:D$27),($G61:$K61)/100)</f>
        <v>67.17151724</v>
      </c>
      <c r="M61" s="22">
        <f t="shared" si="48"/>
        <v>61.23816323</v>
      </c>
      <c r="N61" s="22">
        <f t="shared" si="48"/>
        <v>4.501643024</v>
      </c>
      <c r="O61" s="51" t="str">
        <f t="shared" si="23"/>
        <v>EasyOCR</v>
      </c>
    </row>
    <row r="62">
      <c r="A62" s="47" t="s">
        <v>75</v>
      </c>
      <c r="B62" s="53">
        <v>8.0</v>
      </c>
      <c r="C62" s="53">
        <v>7.0</v>
      </c>
      <c r="D62" s="53">
        <v>9.0</v>
      </c>
      <c r="E62" s="53">
        <v>6.0</v>
      </c>
      <c r="F62" s="53">
        <v>10.0</v>
      </c>
      <c r="G62" s="23">
        <v>20.0</v>
      </c>
      <c r="H62" s="50">
        <v>17.5</v>
      </c>
      <c r="I62" s="50">
        <v>22.5</v>
      </c>
      <c r="J62" s="50">
        <v>15.0</v>
      </c>
      <c r="K62" s="50">
        <v>25.0</v>
      </c>
      <c r="L62" s="22">
        <f t="shared" ref="L62:N62" si="49">SUMPRODUCT(transpose(D$23:D$27),($G62:$K62)/100)</f>
        <v>106.4858621</v>
      </c>
      <c r="M62" s="22">
        <f t="shared" si="49"/>
        <v>99.60895633</v>
      </c>
      <c r="N62" s="22">
        <f t="shared" si="49"/>
        <v>5.169580856</v>
      </c>
      <c r="O62" s="51" t="str">
        <f t="shared" si="23"/>
        <v>EasyOCR</v>
      </c>
    </row>
    <row r="63">
      <c r="A63" s="47" t="s">
        <v>76</v>
      </c>
      <c r="B63" s="53">
        <v>8.0</v>
      </c>
      <c r="C63" s="53">
        <v>7.0</v>
      </c>
      <c r="D63" s="53">
        <v>6.0</v>
      </c>
      <c r="E63" s="53">
        <v>10.0</v>
      </c>
      <c r="F63" s="53">
        <v>9.0</v>
      </c>
      <c r="G63" s="23">
        <v>20.0</v>
      </c>
      <c r="H63" s="50">
        <v>17.5</v>
      </c>
      <c r="I63" s="50">
        <v>15.0</v>
      </c>
      <c r="J63" s="50">
        <v>25.0</v>
      </c>
      <c r="K63" s="50">
        <v>22.5</v>
      </c>
      <c r="L63" s="22">
        <f t="shared" ref="L63:N63" si="50">SUMPRODUCT(transpose(D$23:D$27),($G63:$K63)/100)</f>
        <v>96.65727586</v>
      </c>
      <c r="M63" s="22">
        <f t="shared" si="50"/>
        <v>90.01625806</v>
      </c>
      <c r="N63" s="22">
        <f t="shared" si="50"/>
        <v>4.852813823</v>
      </c>
      <c r="O63" s="51" t="str">
        <f t="shared" si="23"/>
        <v>EasyOCR</v>
      </c>
    </row>
    <row r="64">
      <c r="A64" s="47" t="s">
        <v>77</v>
      </c>
      <c r="B64" s="53">
        <v>8.0</v>
      </c>
      <c r="C64" s="53">
        <v>7.0</v>
      </c>
      <c r="D64" s="53">
        <v>6.0</v>
      </c>
      <c r="E64" s="53">
        <v>9.0</v>
      </c>
      <c r="F64" s="53">
        <v>10.0</v>
      </c>
      <c r="G64" s="23">
        <v>20.0</v>
      </c>
      <c r="H64" s="50">
        <v>17.5</v>
      </c>
      <c r="I64" s="50">
        <v>15.0</v>
      </c>
      <c r="J64" s="50">
        <v>22.5</v>
      </c>
      <c r="K64" s="50">
        <v>25.0</v>
      </c>
      <c r="L64" s="22">
        <f t="shared" ref="L64:N64" si="51">SUMPRODUCT(transpose(D$23:D$27),($G64:$K64)/100)</f>
        <v>106.4858621</v>
      </c>
      <c r="M64" s="22">
        <f t="shared" si="51"/>
        <v>99.60895633</v>
      </c>
      <c r="N64" s="22">
        <f t="shared" si="51"/>
        <v>5.019798281</v>
      </c>
      <c r="O64" s="51" t="str">
        <f t="shared" si="23"/>
        <v>EasyOCR</v>
      </c>
    </row>
    <row r="65">
      <c r="A65" s="47" t="s">
        <v>78</v>
      </c>
      <c r="B65" s="53">
        <v>8.0</v>
      </c>
      <c r="C65" s="53">
        <v>10.0</v>
      </c>
      <c r="D65" s="53">
        <v>7.0</v>
      </c>
      <c r="E65" s="53">
        <v>9.0</v>
      </c>
      <c r="F65" s="53">
        <v>6.0</v>
      </c>
      <c r="G65" s="23">
        <v>20.0</v>
      </c>
      <c r="H65" s="50">
        <v>25.0</v>
      </c>
      <c r="I65" s="50">
        <v>17.5</v>
      </c>
      <c r="J65" s="50">
        <v>22.5</v>
      </c>
      <c r="K65" s="50">
        <v>15.0</v>
      </c>
      <c r="L65" s="22">
        <f t="shared" ref="L65:N65" si="52">SUMPRODUCT(transpose(D$23:D$27),($G65:$K65)/100)</f>
        <v>67.17151724</v>
      </c>
      <c r="M65" s="22">
        <f t="shared" si="52"/>
        <v>61.6161519</v>
      </c>
      <c r="N65" s="22">
        <f t="shared" si="52"/>
        <v>4.227741348</v>
      </c>
      <c r="O65" s="51" t="str">
        <f t="shared" si="23"/>
        <v>EasyOCR</v>
      </c>
    </row>
    <row r="66">
      <c r="A66" s="47" t="s">
        <v>79</v>
      </c>
      <c r="B66" s="53">
        <v>8.0</v>
      </c>
      <c r="C66" s="53">
        <v>10.0</v>
      </c>
      <c r="D66" s="53">
        <v>7.0</v>
      </c>
      <c r="E66" s="53">
        <v>6.0</v>
      </c>
      <c r="F66" s="53">
        <v>9.0</v>
      </c>
      <c r="G66" s="23">
        <v>20.0</v>
      </c>
      <c r="H66" s="50">
        <v>25.0</v>
      </c>
      <c r="I66" s="50">
        <v>17.5</v>
      </c>
      <c r="J66" s="50">
        <v>15.0</v>
      </c>
      <c r="K66" s="50">
        <v>22.5</v>
      </c>
      <c r="L66" s="22">
        <f t="shared" ref="L66:N66" si="53">SUMPRODUCT(transpose(D$23:D$27),($G66:$K66)/100)</f>
        <v>96.65727586</v>
      </c>
      <c r="M66" s="22">
        <f t="shared" si="53"/>
        <v>90.39424673</v>
      </c>
      <c r="N66" s="22">
        <f t="shared" si="53"/>
        <v>4.728694722</v>
      </c>
      <c r="O66" s="51" t="str">
        <f t="shared" si="23"/>
        <v>EasyOCR</v>
      </c>
    </row>
    <row r="67">
      <c r="A67" s="47" t="s">
        <v>80</v>
      </c>
      <c r="B67" s="53">
        <v>8.0</v>
      </c>
      <c r="C67" s="53">
        <v>10.0</v>
      </c>
      <c r="D67" s="53">
        <v>9.0</v>
      </c>
      <c r="E67" s="53">
        <v>7.0</v>
      </c>
      <c r="F67" s="53">
        <v>6.0</v>
      </c>
      <c r="G67" s="23">
        <v>20.0</v>
      </c>
      <c r="H67" s="50">
        <v>25.0</v>
      </c>
      <c r="I67" s="50">
        <v>22.5</v>
      </c>
      <c r="J67" s="50">
        <v>17.5</v>
      </c>
      <c r="K67" s="50">
        <v>15.0</v>
      </c>
      <c r="L67" s="22">
        <f t="shared" ref="L67:N67" si="54">SUMPRODUCT(transpose(D$23:D$27),($G67:$K67)/100)</f>
        <v>67.17151724</v>
      </c>
      <c r="M67" s="22">
        <f t="shared" si="54"/>
        <v>61.6161519</v>
      </c>
      <c r="N67" s="22">
        <f t="shared" si="54"/>
        <v>4.327596398</v>
      </c>
      <c r="O67" s="51" t="str">
        <f t="shared" si="23"/>
        <v>EasyOCR</v>
      </c>
    </row>
    <row r="68">
      <c r="A68" s="47" t="s">
        <v>81</v>
      </c>
      <c r="B68" s="53">
        <v>8.0</v>
      </c>
      <c r="C68" s="53">
        <v>10.0</v>
      </c>
      <c r="D68" s="53">
        <v>9.0</v>
      </c>
      <c r="E68" s="53">
        <v>6.0</v>
      </c>
      <c r="F68" s="53">
        <v>7.0</v>
      </c>
      <c r="G68" s="23">
        <v>20.0</v>
      </c>
      <c r="H68" s="50">
        <v>25.0</v>
      </c>
      <c r="I68" s="50">
        <v>22.5</v>
      </c>
      <c r="J68" s="50">
        <v>15.0</v>
      </c>
      <c r="K68" s="50">
        <v>17.5</v>
      </c>
      <c r="L68" s="22">
        <f t="shared" ref="L68:N68" si="55">SUMPRODUCT(transpose(D$23:D$27),($G68:$K68)/100)</f>
        <v>77.00010345</v>
      </c>
      <c r="M68" s="22">
        <f t="shared" si="55"/>
        <v>71.20885018</v>
      </c>
      <c r="N68" s="22">
        <f t="shared" si="55"/>
        <v>4.494580856</v>
      </c>
      <c r="O68" s="51" t="str">
        <f t="shared" si="23"/>
        <v>EasyOCR</v>
      </c>
    </row>
    <row r="69">
      <c r="A69" s="47" t="s">
        <v>82</v>
      </c>
      <c r="B69" s="53">
        <v>8.0</v>
      </c>
      <c r="C69" s="53">
        <v>10.0</v>
      </c>
      <c r="D69" s="53">
        <v>6.0</v>
      </c>
      <c r="E69" s="53">
        <v>7.0</v>
      </c>
      <c r="F69" s="53">
        <v>9.0</v>
      </c>
      <c r="G69" s="23">
        <v>20.0</v>
      </c>
      <c r="H69" s="50">
        <v>25.0</v>
      </c>
      <c r="I69" s="50">
        <v>15.0</v>
      </c>
      <c r="J69" s="50">
        <v>17.5</v>
      </c>
      <c r="K69" s="50">
        <v>22.5</v>
      </c>
      <c r="L69" s="22">
        <f t="shared" ref="L69:N69" si="56">SUMPRODUCT(transpose(D$23:D$27),($G69:$K69)/100)</f>
        <v>96.65727586</v>
      </c>
      <c r="M69" s="22">
        <f t="shared" si="56"/>
        <v>90.39424673</v>
      </c>
      <c r="N69" s="22">
        <f t="shared" si="56"/>
        <v>4.678767197</v>
      </c>
      <c r="O69" s="51" t="str">
        <f t="shared" si="23"/>
        <v>EasyOCR</v>
      </c>
    </row>
    <row r="70">
      <c r="A70" s="47" t="s">
        <v>83</v>
      </c>
      <c r="B70" s="53">
        <v>8.0</v>
      </c>
      <c r="C70" s="53">
        <v>10.0</v>
      </c>
      <c r="D70" s="53">
        <v>6.0</v>
      </c>
      <c r="E70" s="53">
        <v>9.0</v>
      </c>
      <c r="F70" s="53">
        <v>7.0</v>
      </c>
      <c r="G70" s="23">
        <v>20.0</v>
      </c>
      <c r="H70" s="50">
        <v>25.0</v>
      </c>
      <c r="I70" s="50">
        <v>15.0</v>
      </c>
      <c r="J70" s="50">
        <v>22.5</v>
      </c>
      <c r="K70" s="50">
        <v>17.5</v>
      </c>
      <c r="L70" s="22">
        <f t="shared" ref="L70:N70" si="57">SUMPRODUCT(transpose(D$23:D$27),($G70:$K70)/100)</f>
        <v>77.00010345</v>
      </c>
      <c r="M70" s="22">
        <f t="shared" si="57"/>
        <v>71.20885018</v>
      </c>
      <c r="N70" s="22">
        <f t="shared" si="57"/>
        <v>4.344798281</v>
      </c>
      <c r="O70" s="51" t="str">
        <f t="shared" si="23"/>
        <v>EasyOCR</v>
      </c>
    </row>
    <row r="71">
      <c r="A71" s="47" t="s">
        <v>84</v>
      </c>
      <c r="B71" s="53">
        <v>8.0</v>
      </c>
      <c r="C71" s="53">
        <v>9.0</v>
      </c>
      <c r="D71" s="53">
        <v>7.0</v>
      </c>
      <c r="E71" s="53">
        <v>10.0</v>
      </c>
      <c r="F71" s="53">
        <v>6.0</v>
      </c>
      <c r="G71" s="23">
        <v>20.0</v>
      </c>
      <c r="H71" s="50">
        <v>22.5</v>
      </c>
      <c r="I71" s="50">
        <v>17.5</v>
      </c>
      <c r="J71" s="50">
        <v>25.0</v>
      </c>
      <c r="K71" s="50">
        <v>15.0</v>
      </c>
      <c r="L71" s="22">
        <f t="shared" ref="L71:N71" si="58">SUMPRODUCT(transpose(D$23:D$27),($G71:$K71)/100)</f>
        <v>67.17151724</v>
      </c>
      <c r="M71" s="22">
        <f t="shared" si="58"/>
        <v>61.49015568</v>
      </c>
      <c r="N71" s="22">
        <f t="shared" si="58"/>
        <v>4.28575689</v>
      </c>
      <c r="O71" s="51" t="str">
        <f t="shared" si="23"/>
        <v>EasyOCR</v>
      </c>
    </row>
    <row r="72">
      <c r="A72" s="47" t="s">
        <v>85</v>
      </c>
      <c r="B72" s="53">
        <v>8.0</v>
      </c>
      <c r="C72" s="53">
        <v>9.0</v>
      </c>
      <c r="D72" s="53">
        <v>7.0</v>
      </c>
      <c r="E72" s="53">
        <v>6.0</v>
      </c>
      <c r="F72" s="53">
        <v>10.0</v>
      </c>
      <c r="G72" s="23">
        <v>20.0</v>
      </c>
      <c r="H72" s="50">
        <v>22.5</v>
      </c>
      <c r="I72" s="50">
        <v>17.5</v>
      </c>
      <c r="J72" s="50">
        <v>15.0</v>
      </c>
      <c r="K72" s="50">
        <v>25.0</v>
      </c>
      <c r="L72" s="22">
        <f t="shared" ref="L72:N72" si="59">SUMPRODUCT(transpose(D$23:D$27),($G72:$K72)/100)</f>
        <v>106.4858621</v>
      </c>
      <c r="M72" s="22">
        <f t="shared" si="59"/>
        <v>99.86094878</v>
      </c>
      <c r="N72" s="22">
        <f t="shared" si="59"/>
        <v>4.953694722</v>
      </c>
      <c r="O72" s="51" t="str">
        <f t="shared" si="23"/>
        <v>EasyOCR</v>
      </c>
    </row>
    <row r="73">
      <c r="A73" s="47" t="s">
        <v>86</v>
      </c>
      <c r="B73" s="53">
        <v>8.0</v>
      </c>
      <c r="C73" s="53">
        <v>9.0</v>
      </c>
      <c r="D73" s="53">
        <v>10.0</v>
      </c>
      <c r="E73" s="53">
        <v>7.0</v>
      </c>
      <c r="F73" s="53">
        <v>6.0</v>
      </c>
      <c r="G73" s="23">
        <v>20.0</v>
      </c>
      <c r="H73" s="50">
        <v>22.5</v>
      </c>
      <c r="I73" s="50">
        <v>25.0</v>
      </c>
      <c r="J73" s="50">
        <v>17.5</v>
      </c>
      <c r="K73" s="50">
        <v>15.0</v>
      </c>
      <c r="L73" s="22">
        <f t="shared" ref="L73:N73" si="60">SUMPRODUCT(transpose(D$23:D$27),($G73:$K73)/100)</f>
        <v>67.17151724</v>
      </c>
      <c r="M73" s="22">
        <f t="shared" si="60"/>
        <v>61.49015568</v>
      </c>
      <c r="N73" s="22">
        <f t="shared" si="60"/>
        <v>4.435539465</v>
      </c>
      <c r="O73" s="51" t="str">
        <f t="shared" si="23"/>
        <v>EasyOCR</v>
      </c>
    </row>
    <row r="74">
      <c r="A74" s="47" t="s">
        <v>87</v>
      </c>
      <c r="B74" s="53">
        <v>8.0</v>
      </c>
      <c r="C74" s="53">
        <v>9.0</v>
      </c>
      <c r="D74" s="53">
        <v>10.0</v>
      </c>
      <c r="E74" s="53">
        <v>6.0</v>
      </c>
      <c r="F74" s="53">
        <v>7.0</v>
      </c>
      <c r="G74" s="23">
        <v>20.0</v>
      </c>
      <c r="H74" s="50">
        <v>22.5</v>
      </c>
      <c r="I74" s="50">
        <v>25.0</v>
      </c>
      <c r="J74" s="50">
        <v>15.0</v>
      </c>
      <c r="K74" s="50">
        <v>17.5</v>
      </c>
      <c r="L74" s="22">
        <f t="shared" ref="L74:N74" si="61">SUMPRODUCT(transpose(D$23:D$27),($G74:$K74)/100)</f>
        <v>77.00010345</v>
      </c>
      <c r="M74" s="22">
        <f t="shared" si="61"/>
        <v>71.08285395</v>
      </c>
      <c r="N74" s="22">
        <f t="shared" si="61"/>
        <v>4.602523923</v>
      </c>
      <c r="O74" s="51" t="str">
        <f t="shared" si="23"/>
        <v>EasyOCR</v>
      </c>
    </row>
    <row r="75">
      <c r="A75" s="47" t="s">
        <v>88</v>
      </c>
      <c r="B75" s="53">
        <v>8.0</v>
      </c>
      <c r="C75" s="53">
        <v>9.0</v>
      </c>
      <c r="D75" s="53">
        <v>6.0</v>
      </c>
      <c r="E75" s="53">
        <v>7.0</v>
      </c>
      <c r="F75" s="53">
        <v>10.0</v>
      </c>
      <c r="G75" s="23">
        <v>20.0</v>
      </c>
      <c r="H75" s="50">
        <v>22.5</v>
      </c>
      <c r="I75" s="50">
        <v>15.0</v>
      </c>
      <c r="J75" s="50">
        <v>17.5</v>
      </c>
      <c r="K75" s="50">
        <v>25.0</v>
      </c>
      <c r="L75" s="22">
        <f t="shared" ref="L75:N75" si="62">SUMPRODUCT(transpose(D$23:D$27),($G75:$K75)/100)</f>
        <v>106.4858621</v>
      </c>
      <c r="M75" s="22">
        <f t="shared" si="62"/>
        <v>99.86094878</v>
      </c>
      <c r="N75" s="22">
        <f t="shared" si="62"/>
        <v>4.903767197</v>
      </c>
      <c r="O75" s="51" t="str">
        <f t="shared" si="23"/>
        <v>EasyOCR</v>
      </c>
    </row>
    <row r="76">
      <c r="A76" s="47" t="s">
        <v>89</v>
      </c>
      <c r="B76" s="53">
        <v>8.0</v>
      </c>
      <c r="C76" s="53">
        <v>9.0</v>
      </c>
      <c r="D76" s="53">
        <v>6.0</v>
      </c>
      <c r="E76" s="53">
        <v>10.0</v>
      </c>
      <c r="F76" s="53">
        <v>7.0</v>
      </c>
      <c r="G76" s="23">
        <v>20.0</v>
      </c>
      <c r="H76" s="50">
        <v>22.5</v>
      </c>
      <c r="I76" s="50">
        <v>15.0</v>
      </c>
      <c r="J76" s="50">
        <v>25.0</v>
      </c>
      <c r="K76" s="50">
        <v>17.5</v>
      </c>
      <c r="L76" s="22">
        <f t="shared" ref="L76:N76" si="63">SUMPRODUCT(transpose(D$23:D$27),($G76:$K76)/100)</f>
        <v>77.00010345</v>
      </c>
      <c r="M76" s="22">
        <f t="shared" si="63"/>
        <v>71.08285395</v>
      </c>
      <c r="N76" s="22">
        <f t="shared" si="63"/>
        <v>4.402813823</v>
      </c>
      <c r="O76" s="51" t="str">
        <f t="shared" si="23"/>
        <v>EasyOCR</v>
      </c>
    </row>
    <row r="77">
      <c r="A77" s="47" t="s">
        <v>90</v>
      </c>
      <c r="B77" s="53">
        <v>8.0</v>
      </c>
      <c r="C77" s="53">
        <v>6.0</v>
      </c>
      <c r="D77" s="53">
        <v>7.0</v>
      </c>
      <c r="E77" s="53">
        <v>10.0</v>
      </c>
      <c r="F77" s="53">
        <v>9.0</v>
      </c>
      <c r="G77" s="23">
        <v>20.0</v>
      </c>
      <c r="H77" s="50">
        <v>15.0</v>
      </c>
      <c r="I77" s="50">
        <v>17.5</v>
      </c>
      <c r="J77" s="50">
        <v>25.0</v>
      </c>
      <c r="K77" s="50">
        <v>22.5</v>
      </c>
      <c r="L77" s="22">
        <f t="shared" ref="L77:N77" si="64">SUMPRODUCT(transpose(D$23:D$27),($G77:$K77)/100)</f>
        <v>96.65727586</v>
      </c>
      <c r="M77" s="22">
        <f t="shared" si="64"/>
        <v>89.89026183</v>
      </c>
      <c r="N77" s="22">
        <f t="shared" si="64"/>
        <v>4.96075689</v>
      </c>
      <c r="O77" s="51" t="str">
        <f t="shared" si="23"/>
        <v>EasyOCR</v>
      </c>
    </row>
    <row r="78">
      <c r="A78" s="47" t="s">
        <v>91</v>
      </c>
      <c r="B78" s="53">
        <v>8.0</v>
      </c>
      <c r="C78" s="53">
        <v>6.0</v>
      </c>
      <c r="D78" s="53">
        <v>7.0</v>
      </c>
      <c r="E78" s="53">
        <v>9.0</v>
      </c>
      <c r="F78" s="53">
        <v>10.0</v>
      </c>
      <c r="G78" s="23">
        <v>20.0</v>
      </c>
      <c r="H78" s="50">
        <v>15.0</v>
      </c>
      <c r="I78" s="50">
        <v>17.5</v>
      </c>
      <c r="J78" s="50">
        <v>22.5</v>
      </c>
      <c r="K78" s="50">
        <v>25.0</v>
      </c>
      <c r="L78" s="22">
        <f t="shared" ref="L78:N78" si="65">SUMPRODUCT(transpose(D$23:D$27),($G78:$K78)/100)</f>
        <v>106.4858621</v>
      </c>
      <c r="M78" s="22">
        <f t="shared" si="65"/>
        <v>99.48296011</v>
      </c>
      <c r="N78" s="22">
        <f t="shared" si="65"/>
        <v>5.127741348</v>
      </c>
      <c r="O78" s="51" t="str">
        <f t="shared" si="23"/>
        <v>EasyOCR</v>
      </c>
    </row>
    <row r="79">
      <c r="A79" s="47" t="s">
        <v>92</v>
      </c>
      <c r="B79" s="53">
        <v>8.0</v>
      </c>
      <c r="C79" s="53">
        <v>6.0</v>
      </c>
      <c r="D79" s="53">
        <v>10.0</v>
      </c>
      <c r="E79" s="53">
        <v>7.0</v>
      </c>
      <c r="F79" s="53">
        <v>9.0</v>
      </c>
      <c r="G79" s="23">
        <v>20.0</v>
      </c>
      <c r="H79" s="50">
        <v>15.0</v>
      </c>
      <c r="I79" s="50">
        <v>25.0</v>
      </c>
      <c r="J79" s="50">
        <v>17.5</v>
      </c>
      <c r="K79" s="50">
        <v>22.5</v>
      </c>
      <c r="L79" s="22">
        <f t="shared" ref="L79:N79" si="66">SUMPRODUCT(transpose(D$23:D$27),($G79:$K79)/100)</f>
        <v>96.65727586</v>
      </c>
      <c r="M79" s="22">
        <f t="shared" si="66"/>
        <v>89.89026183</v>
      </c>
      <c r="N79" s="22">
        <f t="shared" si="66"/>
        <v>5.110539465</v>
      </c>
      <c r="O79" s="51" t="str">
        <f t="shared" si="23"/>
        <v>EasyOCR</v>
      </c>
    </row>
    <row r="80">
      <c r="A80" s="47" t="s">
        <v>93</v>
      </c>
      <c r="B80" s="53">
        <v>8.0</v>
      </c>
      <c r="C80" s="53">
        <v>6.0</v>
      </c>
      <c r="D80" s="53">
        <v>10.0</v>
      </c>
      <c r="E80" s="53">
        <v>9.0</v>
      </c>
      <c r="F80" s="53">
        <v>7.0</v>
      </c>
      <c r="G80" s="23">
        <v>20.0</v>
      </c>
      <c r="H80" s="50">
        <v>15.0</v>
      </c>
      <c r="I80" s="50">
        <v>25.0</v>
      </c>
      <c r="J80" s="50">
        <v>22.5</v>
      </c>
      <c r="K80" s="50">
        <v>17.5</v>
      </c>
      <c r="L80" s="22">
        <f t="shared" ref="L80:N80" si="67">SUMPRODUCT(transpose(D$23:D$27),($G80:$K80)/100)</f>
        <v>77.00010345</v>
      </c>
      <c r="M80" s="22">
        <f t="shared" si="67"/>
        <v>70.70486528</v>
      </c>
      <c r="N80" s="22">
        <f t="shared" si="67"/>
        <v>4.776570549</v>
      </c>
      <c r="O80" s="51" t="str">
        <f t="shared" si="23"/>
        <v>EasyOCR</v>
      </c>
    </row>
    <row r="81">
      <c r="A81" s="47" t="s">
        <v>94</v>
      </c>
      <c r="B81" s="53">
        <v>8.0</v>
      </c>
      <c r="C81" s="53">
        <v>6.0</v>
      </c>
      <c r="D81" s="53">
        <v>9.0</v>
      </c>
      <c r="E81" s="53">
        <v>7.0</v>
      </c>
      <c r="F81" s="53">
        <v>10.0</v>
      </c>
      <c r="G81" s="23">
        <v>20.0</v>
      </c>
      <c r="H81" s="50">
        <v>15.0</v>
      </c>
      <c r="I81" s="50">
        <v>22.5</v>
      </c>
      <c r="J81" s="50">
        <v>17.5</v>
      </c>
      <c r="K81" s="50">
        <v>25.0</v>
      </c>
      <c r="L81" s="22">
        <f t="shared" ref="L81:N81" si="68">SUMPRODUCT(transpose(D$23:D$27),($G81:$K81)/100)</f>
        <v>106.4858621</v>
      </c>
      <c r="M81" s="22">
        <f t="shared" si="68"/>
        <v>99.48296011</v>
      </c>
      <c r="N81" s="22">
        <f t="shared" si="68"/>
        <v>5.227596398</v>
      </c>
      <c r="O81" s="51" t="str">
        <f t="shared" si="23"/>
        <v>EasyOCR</v>
      </c>
    </row>
    <row r="82">
      <c r="A82" s="47" t="s">
        <v>95</v>
      </c>
      <c r="B82" s="53">
        <v>8.0</v>
      </c>
      <c r="C82" s="53">
        <v>6.0</v>
      </c>
      <c r="D82" s="53">
        <v>9.0</v>
      </c>
      <c r="E82" s="53">
        <v>10.0</v>
      </c>
      <c r="F82" s="53">
        <v>7.0</v>
      </c>
      <c r="G82" s="23">
        <v>20.0</v>
      </c>
      <c r="H82" s="50">
        <v>15.0</v>
      </c>
      <c r="I82" s="50">
        <v>22.5</v>
      </c>
      <c r="J82" s="50">
        <v>25.0</v>
      </c>
      <c r="K82" s="50">
        <v>17.5</v>
      </c>
      <c r="L82" s="22">
        <f t="shared" ref="L82:N82" si="69">SUMPRODUCT(transpose(D$23:D$27),($G82:$K82)/100)</f>
        <v>77.00010345</v>
      </c>
      <c r="M82" s="22">
        <f t="shared" si="69"/>
        <v>70.70486528</v>
      </c>
      <c r="N82" s="22">
        <f t="shared" si="69"/>
        <v>4.726643024</v>
      </c>
      <c r="O82" s="51" t="str">
        <f t="shared" si="23"/>
        <v>EasyOCR</v>
      </c>
    </row>
    <row r="83">
      <c r="A83" s="47" t="s">
        <v>96</v>
      </c>
      <c r="B83" s="53">
        <v>10.0</v>
      </c>
      <c r="C83" s="53">
        <v>7.0</v>
      </c>
      <c r="D83" s="53">
        <v>8.0</v>
      </c>
      <c r="E83" s="53">
        <v>9.0</v>
      </c>
      <c r="F83" s="53">
        <v>6.0</v>
      </c>
      <c r="G83" s="23">
        <v>25.0</v>
      </c>
      <c r="H83" s="50">
        <v>17.5</v>
      </c>
      <c r="I83" s="50">
        <v>20.0</v>
      </c>
      <c r="J83" s="50">
        <v>22.5</v>
      </c>
      <c r="K83" s="50">
        <v>15.0</v>
      </c>
      <c r="L83" s="22">
        <f t="shared" ref="L83:N83" si="70">SUMPRODUCT(transpose(D$23:D$27),($G83:$K83)/100)</f>
        <v>66.72151724</v>
      </c>
      <c r="M83" s="22">
        <f t="shared" si="70"/>
        <v>61.68816323</v>
      </c>
      <c r="N83" s="22">
        <f t="shared" si="70"/>
        <v>4.485684415</v>
      </c>
      <c r="O83" s="51" t="str">
        <f t="shared" si="23"/>
        <v>EasyOCR</v>
      </c>
    </row>
    <row r="84">
      <c r="A84" s="47" t="s">
        <v>97</v>
      </c>
      <c r="B84" s="53">
        <v>10.0</v>
      </c>
      <c r="C84" s="53">
        <v>7.0</v>
      </c>
      <c r="D84" s="53">
        <v>8.0</v>
      </c>
      <c r="E84" s="53">
        <v>6.0</v>
      </c>
      <c r="F84" s="53">
        <v>9.0</v>
      </c>
      <c r="G84" s="23">
        <v>25.0</v>
      </c>
      <c r="H84" s="50">
        <v>17.5</v>
      </c>
      <c r="I84" s="50">
        <v>20.0</v>
      </c>
      <c r="J84" s="50">
        <v>15.0</v>
      </c>
      <c r="K84" s="50">
        <v>22.5</v>
      </c>
      <c r="L84" s="22">
        <f t="shared" ref="L84:N84" si="71">SUMPRODUCT(transpose(D$23:D$27),($G84:$K84)/100)</f>
        <v>96.20727586</v>
      </c>
      <c r="M84" s="22">
        <f t="shared" si="71"/>
        <v>90.46625806</v>
      </c>
      <c r="N84" s="22">
        <f t="shared" si="71"/>
        <v>4.986637789</v>
      </c>
      <c r="O84" s="51" t="str">
        <f t="shared" si="23"/>
        <v>EasyOCR</v>
      </c>
    </row>
    <row r="85">
      <c r="A85" s="47" t="s">
        <v>98</v>
      </c>
      <c r="B85" s="53">
        <v>10.0</v>
      </c>
      <c r="C85" s="53">
        <v>7.0</v>
      </c>
      <c r="D85" s="53">
        <v>9.0</v>
      </c>
      <c r="E85" s="53">
        <v>8.0</v>
      </c>
      <c r="F85" s="53">
        <v>6.0</v>
      </c>
      <c r="G85" s="23">
        <v>25.0</v>
      </c>
      <c r="H85" s="50">
        <v>17.5</v>
      </c>
      <c r="I85" s="50">
        <v>22.5</v>
      </c>
      <c r="J85" s="50">
        <v>20.0</v>
      </c>
      <c r="K85" s="50">
        <v>15.0</v>
      </c>
      <c r="L85" s="22">
        <f t="shared" ref="L85:N85" si="72">SUMPRODUCT(transpose(D$23:D$27),($G85:$K85)/100)</f>
        <v>66.72151724</v>
      </c>
      <c r="M85" s="22">
        <f t="shared" si="72"/>
        <v>61.68816323</v>
      </c>
      <c r="N85" s="22">
        <f t="shared" si="72"/>
        <v>4.53561194</v>
      </c>
      <c r="O85" s="51" t="str">
        <f t="shared" si="23"/>
        <v>EasyOCR</v>
      </c>
    </row>
    <row r="86">
      <c r="A86" s="47" t="s">
        <v>99</v>
      </c>
      <c r="B86" s="53">
        <v>10.0</v>
      </c>
      <c r="C86" s="53">
        <v>7.0</v>
      </c>
      <c r="D86" s="53">
        <v>9.0</v>
      </c>
      <c r="E86" s="53">
        <v>6.0</v>
      </c>
      <c r="F86" s="53">
        <v>8.0</v>
      </c>
      <c r="G86" s="23">
        <v>25.0</v>
      </c>
      <c r="H86" s="50">
        <v>17.5</v>
      </c>
      <c r="I86" s="50">
        <v>22.5</v>
      </c>
      <c r="J86" s="50">
        <v>15.0</v>
      </c>
      <c r="K86" s="50">
        <v>20.0</v>
      </c>
      <c r="L86" s="22">
        <f t="shared" ref="L86:N86" si="73">SUMPRODUCT(transpose(D$23:D$27),($G86:$K86)/100)</f>
        <v>86.37868966</v>
      </c>
      <c r="M86" s="22">
        <f t="shared" si="73"/>
        <v>80.87355978</v>
      </c>
      <c r="N86" s="22">
        <f t="shared" si="73"/>
        <v>4.869580856</v>
      </c>
      <c r="O86" s="51" t="str">
        <f t="shared" si="23"/>
        <v>EasyOCR</v>
      </c>
    </row>
    <row r="87">
      <c r="A87" s="47" t="s">
        <v>100</v>
      </c>
      <c r="B87" s="53">
        <v>10.0</v>
      </c>
      <c r="C87" s="53">
        <v>7.0</v>
      </c>
      <c r="D87" s="53">
        <v>6.0</v>
      </c>
      <c r="E87" s="53">
        <v>8.0</v>
      </c>
      <c r="F87" s="53">
        <v>9.0</v>
      </c>
      <c r="G87" s="23">
        <v>25.0</v>
      </c>
      <c r="H87" s="50">
        <v>17.5</v>
      </c>
      <c r="I87" s="50">
        <v>15.0</v>
      </c>
      <c r="J87" s="50">
        <v>20.0</v>
      </c>
      <c r="K87" s="50">
        <v>22.5</v>
      </c>
      <c r="L87" s="22">
        <f t="shared" ref="L87:N87" si="74">SUMPRODUCT(transpose(D$23:D$27),($G87:$K87)/100)</f>
        <v>96.20727586</v>
      </c>
      <c r="M87" s="22">
        <f t="shared" si="74"/>
        <v>90.46625806</v>
      </c>
      <c r="N87" s="22">
        <f t="shared" si="74"/>
        <v>4.886782739</v>
      </c>
      <c r="O87" s="51" t="str">
        <f t="shared" si="23"/>
        <v>EasyOCR</v>
      </c>
    </row>
    <row r="88">
      <c r="A88" s="47" t="s">
        <v>101</v>
      </c>
      <c r="B88" s="53">
        <v>10.0</v>
      </c>
      <c r="C88" s="53">
        <v>7.0</v>
      </c>
      <c r="D88" s="53">
        <v>6.0</v>
      </c>
      <c r="E88" s="53">
        <v>9.0</v>
      </c>
      <c r="F88" s="53">
        <v>8.0</v>
      </c>
      <c r="G88" s="23">
        <v>25.0</v>
      </c>
      <c r="H88" s="50">
        <v>17.5</v>
      </c>
      <c r="I88" s="50">
        <v>15.0</v>
      </c>
      <c r="J88" s="50">
        <v>22.5</v>
      </c>
      <c r="K88" s="50">
        <v>20.0</v>
      </c>
      <c r="L88" s="22">
        <f t="shared" ref="L88:N88" si="75">SUMPRODUCT(transpose(D$23:D$27),($G88:$K88)/100)</f>
        <v>86.37868966</v>
      </c>
      <c r="M88" s="22">
        <f t="shared" si="75"/>
        <v>80.87355978</v>
      </c>
      <c r="N88" s="22">
        <f t="shared" si="75"/>
        <v>4.719798281</v>
      </c>
      <c r="O88" s="51" t="str">
        <f t="shared" si="23"/>
        <v>EasyOCR</v>
      </c>
    </row>
    <row r="89">
      <c r="A89" s="47" t="s">
        <v>102</v>
      </c>
      <c r="B89" s="53">
        <v>10.0</v>
      </c>
      <c r="C89" s="53">
        <v>8.0</v>
      </c>
      <c r="D89" s="53">
        <v>7.0</v>
      </c>
      <c r="E89" s="53">
        <v>9.0</v>
      </c>
      <c r="F89" s="53">
        <v>6.0</v>
      </c>
      <c r="G89" s="23">
        <v>25.0</v>
      </c>
      <c r="H89" s="50">
        <v>20.0</v>
      </c>
      <c r="I89" s="50">
        <v>17.5</v>
      </c>
      <c r="J89" s="50">
        <v>22.5</v>
      </c>
      <c r="K89" s="50">
        <v>15.0</v>
      </c>
      <c r="L89" s="22">
        <f t="shared" ref="L89:N89" si="76">SUMPRODUCT(transpose(D$23:D$27),($G89:$K89)/100)</f>
        <v>66.72151724</v>
      </c>
      <c r="M89" s="22">
        <f t="shared" si="76"/>
        <v>61.81415945</v>
      </c>
      <c r="N89" s="22">
        <f t="shared" si="76"/>
        <v>4.377741348</v>
      </c>
      <c r="O89" s="51" t="str">
        <f t="shared" si="23"/>
        <v>EasyOCR</v>
      </c>
    </row>
    <row r="90">
      <c r="A90" s="47" t="s">
        <v>103</v>
      </c>
      <c r="B90" s="53">
        <v>10.0</v>
      </c>
      <c r="C90" s="53">
        <v>8.0</v>
      </c>
      <c r="D90" s="53">
        <v>7.0</v>
      </c>
      <c r="E90" s="53">
        <v>6.0</v>
      </c>
      <c r="F90" s="53">
        <v>9.0</v>
      </c>
      <c r="G90" s="23">
        <v>25.0</v>
      </c>
      <c r="H90" s="50">
        <v>20.0</v>
      </c>
      <c r="I90" s="50">
        <v>17.5</v>
      </c>
      <c r="J90" s="50">
        <v>15.0</v>
      </c>
      <c r="K90" s="50">
        <v>22.5</v>
      </c>
      <c r="L90" s="22">
        <f t="shared" ref="L90:N90" si="77">SUMPRODUCT(transpose(D$23:D$27),($G90:$K90)/100)</f>
        <v>96.20727586</v>
      </c>
      <c r="M90" s="22">
        <f t="shared" si="77"/>
        <v>90.59225428</v>
      </c>
      <c r="N90" s="22">
        <f t="shared" si="77"/>
        <v>4.878694722</v>
      </c>
      <c r="O90" s="51" t="str">
        <f t="shared" si="23"/>
        <v>EasyOCR</v>
      </c>
    </row>
    <row r="91">
      <c r="A91" s="47" t="s">
        <v>104</v>
      </c>
      <c r="B91" s="53">
        <v>10.0</v>
      </c>
      <c r="C91" s="53">
        <v>8.0</v>
      </c>
      <c r="D91" s="53">
        <v>9.0</v>
      </c>
      <c r="E91" s="53">
        <v>7.0</v>
      </c>
      <c r="F91" s="53">
        <v>6.0</v>
      </c>
      <c r="G91" s="23">
        <v>25.0</v>
      </c>
      <c r="H91" s="50">
        <v>20.0</v>
      </c>
      <c r="I91" s="50">
        <v>22.5</v>
      </c>
      <c r="J91" s="50">
        <v>17.5</v>
      </c>
      <c r="K91" s="50">
        <v>15.0</v>
      </c>
      <c r="L91" s="22">
        <f t="shared" ref="L91:N91" si="78">SUMPRODUCT(transpose(D$23:D$27),($G91:$K91)/100)</f>
        <v>66.72151724</v>
      </c>
      <c r="M91" s="22">
        <f t="shared" si="78"/>
        <v>61.81415945</v>
      </c>
      <c r="N91" s="22">
        <f t="shared" si="78"/>
        <v>4.477596398</v>
      </c>
      <c r="O91" s="51" t="str">
        <f t="shared" si="23"/>
        <v>EasyOCR</v>
      </c>
    </row>
    <row r="92">
      <c r="A92" s="47" t="s">
        <v>105</v>
      </c>
      <c r="B92" s="53">
        <v>10.0</v>
      </c>
      <c r="C92" s="53">
        <v>8.0</v>
      </c>
      <c r="D92" s="53">
        <v>9.0</v>
      </c>
      <c r="E92" s="53">
        <v>6.0</v>
      </c>
      <c r="F92" s="53">
        <v>7.0</v>
      </c>
      <c r="G92" s="23">
        <v>25.0</v>
      </c>
      <c r="H92" s="50">
        <v>20.0</v>
      </c>
      <c r="I92" s="50">
        <v>22.5</v>
      </c>
      <c r="J92" s="50">
        <v>15.0</v>
      </c>
      <c r="K92" s="50">
        <v>17.5</v>
      </c>
      <c r="L92" s="22">
        <f t="shared" ref="L92:N92" si="79">SUMPRODUCT(transpose(D$23:D$27),($G92:$K92)/100)</f>
        <v>76.55010345</v>
      </c>
      <c r="M92" s="22">
        <f t="shared" si="79"/>
        <v>71.40685773</v>
      </c>
      <c r="N92" s="22">
        <f t="shared" si="79"/>
        <v>4.644580856</v>
      </c>
      <c r="O92" s="51" t="str">
        <f t="shared" si="23"/>
        <v>EasyOCR</v>
      </c>
    </row>
    <row r="93">
      <c r="A93" s="47" t="s">
        <v>106</v>
      </c>
      <c r="B93" s="53">
        <v>10.0</v>
      </c>
      <c r="C93" s="53">
        <v>8.0</v>
      </c>
      <c r="D93" s="53">
        <v>6.0</v>
      </c>
      <c r="E93" s="53">
        <v>7.0</v>
      </c>
      <c r="F93" s="53">
        <v>9.0</v>
      </c>
      <c r="G93" s="23">
        <v>25.0</v>
      </c>
      <c r="H93" s="50">
        <v>20.0</v>
      </c>
      <c r="I93" s="50">
        <v>15.0</v>
      </c>
      <c r="J93" s="50">
        <v>17.5</v>
      </c>
      <c r="K93" s="50">
        <v>22.5</v>
      </c>
      <c r="L93" s="22">
        <f t="shared" ref="L93:N93" si="80">SUMPRODUCT(transpose(D$23:D$27),($G93:$K93)/100)</f>
        <v>96.20727586</v>
      </c>
      <c r="M93" s="22">
        <f t="shared" si="80"/>
        <v>90.59225428</v>
      </c>
      <c r="N93" s="22">
        <f t="shared" si="80"/>
        <v>4.828767197</v>
      </c>
      <c r="O93" s="51" t="str">
        <f t="shared" si="23"/>
        <v>EasyOCR</v>
      </c>
    </row>
    <row r="94">
      <c r="A94" s="47" t="s">
        <v>107</v>
      </c>
      <c r="B94" s="53">
        <v>10.0</v>
      </c>
      <c r="C94" s="53">
        <v>8.0</v>
      </c>
      <c r="D94" s="53">
        <v>6.0</v>
      </c>
      <c r="E94" s="53">
        <v>9.0</v>
      </c>
      <c r="F94" s="53">
        <v>7.0</v>
      </c>
      <c r="G94" s="23">
        <v>25.0</v>
      </c>
      <c r="H94" s="50">
        <v>20.0</v>
      </c>
      <c r="I94" s="50">
        <v>15.0</v>
      </c>
      <c r="J94" s="50">
        <v>22.5</v>
      </c>
      <c r="K94" s="50">
        <v>17.5</v>
      </c>
      <c r="L94" s="22">
        <f t="shared" ref="L94:N94" si="81">SUMPRODUCT(transpose(D$23:D$27),($G94:$K94)/100)</f>
        <v>76.55010345</v>
      </c>
      <c r="M94" s="22">
        <f t="shared" si="81"/>
        <v>71.40685773</v>
      </c>
      <c r="N94" s="22">
        <f t="shared" si="81"/>
        <v>4.494798281</v>
      </c>
      <c r="O94" s="51" t="str">
        <f t="shared" si="23"/>
        <v>EasyOCR</v>
      </c>
    </row>
    <row r="95">
      <c r="A95" s="47" t="s">
        <v>108</v>
      </c>
      <c r="B95" s="53">
        <v>10.0</v>
      </c>
      <c r="C95" s="53">
        <v>9.0</v>
      </c>
      <c r="D95" s="53">
        <v>7.0</v>
      </c>
      <c r="E95" s="53">
        <v>8.0</v>
      </c>
      <c r="F95" s="53">
        <v>6.0</v>
      </c>
      <c r="G95" s="23">
        <v>25.0</v>
      </c>
      <c r="H95" s="50">
        <v>22.5</v>
      </c>
      <c r="I95" s="50">
        <v>17.5</v>
      </c>
      <c r="J95" s="50">
        <v>20.0</v>
      </c>
      <c r="K95" s="50">
        <v>15.0</v>
      </c>
      <c r="L95" s="22">
        <f t="shared" ref="L95:N95" si="82">SUMPRODUCT(transpose(D$23:D$27),($G95:$K95)/100)</f>
        <v>66.72151724</v>
      </c>
      <c r="M95" s="22">
        <f t="shared" si="82"/>
        <v>61.94015568</v>
      </c>
      <c r="N95" s="22">
        <f t="shared" si="82"/>
        <v>4.319725806</v>
      </c>
      <c r="O95" s="51" t="str">
        <f t="shared" si="23"/>
        <v>EasyOCR</v>
      </c>
    </row>
    <row r="96">
      <c r="A96" s="47" t="s">
        <v>109</v>
      </c>
      <c r="B96" s="53">
        <v>10.0</v>
      </c>
      <c r="C96" s="53">
        <v>9.0</v>
      </c>
      <c r="D96" s="53">
        <v>7.0</v>
      </c>
      <c r="E96" s="53">
        <v>6.0</v>
      </c>
      <c r="F96" s="53">
        <v>8.0</v>
      </c>
      <c r="G96" s="23">
        <v>25.0</v>
      </c>
      <c r="H96" s="50">
        <v>22.5</v>
      </c>
      <c r="I96" s="50">
        <v>17.5</v>
      </c>
      <c r="J96" s="50">
        <v>15.0</v>
      </c>
      <c r="K96" s="50">
        <v>20.0</v>
      </c>
      <c r="L96" s="22">
        <f t="shared" ref="L96:N96" si="83">SUMPRODUCT(transpose(D$23:D$27),($G96:$K96)/100)</f>
        <v>86.37868966</v>
      </c>
      <c r="M96" s="22">
        <f t="shared" si="83"/>
        <v>81.12555223</v>
      </c>
      <c r="N96" s="22">
        <f t="shared" si="83"/>
        <v>4.653694722</v>
      </c>
      <c r="O96" s="51" t="str">
        <f t="shared" si="23"/>
        <v>EasyOCR</v>
      </c>
    </row>
    <row r="97">
      <c r="A97" s="47" t="s">
        <v>110</v>
      </c>
      <c r="B97" s="53">
        <v>10.0</v>
      </c>
      <c r="C97" s="53">
        <v>9.0</v>
      </c>
      <c r="D97" s="53">
        <v>8.0</v>
      </c>
      <c r="E97" s="53">
        <v>7.0</v>
      </c>
      <c r="F97" s="53">
        <v>6.0</v>
      </c>
      <c r="G97" s="23">
        <v>25.0</v>
      </c>
      <c r="H97" s="50">
        <v>22.5</v>
      </c>
      <c r="I97" s="50">
        <v>20.0</v>
      </c>
      <c r="J97" s="50">
        <v>17.5</v>
      </c>
      <c r="K97" s="50">
        <v>15.0</v>
      </c>
      <c r="L97" s="22">
        <f t="shared" ref="L97:N97" si="84">SUMPRODUCT(transpose(D$23:D$27),($G97:$K97)/100)</f>
        <v>66.72151724</v>
      </c>
      <c r="M97" s="22">
        <f t="shared" si="84"/>
        <v>61.94015568</v>
      </c>
      <c r="N97" s="22">
        <f t="shared" si="84"/>
        <v>4.369653331</v>
      </c>
      <c r="O97" s="51" t="str">
        <f t="shared" si="23"/>
        <v>EasyOCR</v>
      </c>
    </row>
    <row r="98">
      <c r="A98" s="47" t="s">
        <v>111</v>
      </c>
      <c r="B98" s="53">
        <v>10.0</v>
      </c>
      <c r="C98" s="53">
        <v>9.0</v>
      </c>
      <c r="D98" s="53">
        <v>8.0</v>
      </c>
      <c r="E98" s="53">
        <v>6.0</v>
      </c>
      <c r="F98" s="53">
        <v>7.0</v>
      </c>
      <c r="G98" s="23">
        <v>25.0</v>
      </c>
      <c r="H98" s="50">
        <v>22.5</v>
      </c>
      <c r="I98" s="50">
        <v>20.0</v>
      </c>
      <c r="J98" s="50">
        <v>15.0</v>
      </c>
      <c r="K98" s="50">
        <v>17.5</v>
      </c>
      <c r="L98" s="22">
        <f t="shared" ref="L98:N98" si="85">SUMPRODUCT(transpose(D$23:D$27),($G98:$K98)/100)</f>
        <v>76.55010345</v>
      </c>
      <c r="M98" s="22">
        <f t="shared" si="85"/>
        <v>71.53285395</v>
      </c>
      <c r="N98" s="22">
        <f t="shared" si="85"/>
        <v>4.536637789</v>
      </c>
      <c r="O98" s="51" t="str">
        <f t="shared" si="23"/>
        <v>EasyOCR</v>
      </c>
    </row>
    <row r="99">
      <c r="A99" s="47" t="s">
        <v>112</v>
      </c>
      <c r="B99" s="53">
        <v>10.0</v>
      </c>
      <c r="C99" s="53">
        <v>9.0</v>
      </c>
      <c r="D99" s="53">
        <v>6.0</v>
      </c>
      <c r="E99" s="53">
        <v>7.0</v>
      </c>
      <c r="F99" s="53">
        <v>8.0</v>
      </c>
      <c r="G99" s="23">
        <v>25.0</v>
      </c>
      <c r="H99" s="50">
        <v>22.5</v>
      </c>
      <c r="I99" s="50">
        <v>15.0</v>
      </c>
      <c r="J99" s="50">
        <v>17.5</v>
      </c>
      <c r="K99" s="50">
        <v>20.0</v>
      </c>
      <c r="L99" s="22">
        <f t="shared" ref="L99:N99" si="86">SUMPRODUCT(transpose(D$23:D$27),($G99:$K99)/100)</f>
        <v>86.37868966</v>
      </c>
      <c r="M99" s="22">
        <f t="shared" si="86"/>
        <v>81.12555223</v>
      </c>
      <c r="N99" s="22">
        <f t="shared" si="86"/>
        <v>4.603767197</v>
      </c>
      <c r="O99" s="51" t="str">
        <f t="shared" si="23"/>
        <v>EasyOCR</v>
      </c>
    </row>
    <row r="100">
      <c r="A100" s="47" t="s">
        <v>113</v>
      </c>
      <c r="B100" s="53">
        <v>10.0</v>
      </c>
      <c r="C100" s="53">
        <v>9.0</v>
      </c>
      <c r="D100" s="53">
        <v>6.0</v>
      </c>
      <c r="E100" s="53">
        <v>8.0</v>
      </c>
      <c r="F100" s="53">
        <v>7.0</v>
      </c>
      <c r="G100" s="23">
        <v>25.0</v>
      </c>
      <c r="H100" s="50">
        <v>22.5</v>
      </c>
      <c r="I100" s="50">
        <v>15.0</v>
      </c>
      <c r="J100" s="50">
        <v>20.0</v>
      </c>
      <c r="K100" s="50">
        <v>17.5</v>
      </c>
      <c r="L100" s="22">
        <f t="shared" ref="L100:N100" si="87">SUMPRODUCT(transpose(D$23:D$27),($G100:$K100)/100)</f>
        <v>76.55010345</v>
      </c>
      <c r="M100" s="22">
        <f t="shared" si="87"/>
        <v>71.53285395</v>
      </c>
      <c r="N100" s="22">
        <f t="shared" si="87"/>
        <v>4.436782739</v>
      </c>
      <c r="O100" s="51" t="str">
        <f t="shared" si="23"/>
        <v>EasyOCR</v>
      </c>
    </row>
    <row r="101">
      <c r="A101" s="47" t="s">
        <v>114</v>
      </c>
      <c r="B101" s="53">
        <v>10.0</v>
      </c>
      <c r="C101" s="53">
        <v>6.0</v>
      </c>
      <c r="D101" s="53">
        <v>7.0</v>
      </c>
      <c r="E101" s="53">
        <v>8.0</v>
      </c>
      <c r="F101" s="53">
        <v>9.0</v>
      </c>
      <c r="G101" s="23">
        <v>25.0</v>
      </c>
      <c r="H101" s="50">
        <v>15.0</v>
      </c>
      <c r="I101" s="50">
        <v>17.5</v>
      </c>
      <c r="J101" s="50">
        <v>20.0</v>
      </c>
      <c r="K101" s="50">
        <v>22.5</v>
      </c>
      <c r="L101" s="22">
        <f t="shared" ref="L101:N101" si="88">SUMPRODUCT(transpose(D$23:D$27),($G101:$K101)/100)</f>
        <v>96.20727586</v>
      </c>
      <c r="M101" s="22">
        <f t="shared" si="88"/>
        <v>90.34026183</v>
      </c>
      <c r="N101" s="22">
        <f t="shared" si="88"/>
        <v>4.994725806</v>
      </c>
      <c r="O101" s="51" t="str">
        <f t="shared" si="23"/>
        <v>EasyOCR</v>
      </c>
    </row>
    <row r="102">
      <c r="A102" s="47" t="s">
        <v>115</v>
      </c>
      <c r="B102" s="53">
        <v>10.0</v>
      </c>
      <c r="C102" s="53">
        <v>6.0</v>
      </c>
      <c r="D102" s="53">
        <v>7.0</v>
      </c>
      <c r="E102" s="53">
        <v>9.0</v>
      </c>
      <c r="F102" s="53">
        <v>8.0</v>
      </c>
      <c r="G102" s="23">
        <v>25.0</v>
      </c>
      <c r="H102" s="50">
        <v>15.0</v>
      </c>
      <c r="I102" s="50">
        <v>17.5</v>
      </c>
      <c r="J102" s="50">
        <v>22.5</v>
      </c>
      <c r="K102" s="50">
        <v>20.0</v>
      </c>
      <c r="L102" s="22">
        <f t="shared" ref="L102:N102" si="89">SUMPRODUCT(transpose(D$23:D$27),($G102:$K102)/100)</f>
        <v>86.37868966</v>
      </c>
      <c r="M102" s="22">
        <f t="shared" si="89"/>
        <v>80.74756356</v>
      </c>
      <c r="N102" s="22">
        <f t="shared" si="89"/>
        <v>4.827741348</v>
      </c>
      <c r="O102" s="51" t="str">
        <f t="shared" si="23"/>
        <v>EasyOCR</v>
      </c>
    </row>
    <row r="103">
      <c r="A103" s="47" t="s">
        <v>116</v>
      </c>
      <c r="B103" s="53">
        <v>10.0</v>
      </c>
      <c r="C103" s="53">
        <v>6.0</v>
      </c>
      <c r="D103" s="53">
        <v>8.0</v>
      </c>
      <c r="E103" s="53">
        <v>7.0</v>
      </c>
      <c r="F103" s="53">
        <v>9.0</v>
      </c>
      <c r="G103" s="23">
        <v>25.0</v>
      </c>
      <c r="H103" s="50">
        <v>15.0</v>
      </c>
      <c r="I103" s="50">
        <v>20.0</v>
      </c>
      <c r="J103" s="50">
        <v>17.5</v>
      </c>
      <c r="K103" s="50">
        <v>22.5</v>
      </c>
      <c r="L103" s="22">
        <f t="shared" ref="L103:N103" si="90">SUMPRODUCT(transpose(D$23:D$27),($G103:$K103)/100)</f>
        <v>96.20727586</v>
      </c>
      <c r="M103" s="22">
        <f t="shared" si="90"/>
        <v>90.34026183</v>
      </c>
      <c r="N103" s="22">
        <f t="shared" si="90"/>
        <v>5.044653331</v>
      </c>
      <c r="O103" s="51" t="str">
        <f t="shared" si="23"/>
        <v>EasyOCR</v>
      </c>
    </row>
    <row r="104">
      <c r="A104" s="47" t="s">
        <v>117</v>
      </c>
      <c r="B104" s="53">
        <v>10.0</v>
      </c>
      <c r="C104" s="53">
        <v>6.0</v>
      </c>
      <c r="D104" s="53">
        <v>8.0</v>
      </c>
      <c r="E104" s="53">
        <v>9.0</v>
      </c>
      <c r="F104" s="53">
        <v>7.0</v>
      </c>
      <c r="G104" s="23">
        <v>25.0</v>
      </c>
      <c r="H104" s="50">
        <v>15.0</v>
      </c>
      <c r="I104" s="50">
        <v>20.0</v>
      </c>
      <c r="J104" s="50">
        <v>22.5</v>
      </c>
      <c r="K104" s="50">
        <v>17.5</v>
      </c>
      <c r="L104" s="22">
        <f t="shared" ref="L104:N104" si="91">SUMPRODUCT(transpose(D$23:D$27),($G104:$K104)/100)</f>
        <v>76.55010345</v>
      </c>
      <c r="M104" s="22">
        <f t="shared" si="91"/>
        <v>71.15486528</v>
      </c>
      <c r="N104" s="22">
        <f t="shared" si="91"/>
        <v>4.710684415</v>
      </c>
      <c r="O104" s="51" t="str">
        <f t="shared" si="23"/>
        <v>EasyOCR</v>
      </c>
    </row>
    <row r="105">
      <c r="A105" s="47" t="s">
        <v>118</v>
      </c>
      <c r="B105" s="53">
        <v>10.0</v>
      </c>
      <c r="C105" s="53">
        <v>6.0</v>
      </c>
      <c r="D105" s="53">
        <v>9.0</v>
      </c>
      <c r="E105" s="53">
        <v>7.0</v>
      </c>
      <c r="F105" s="53">
        <v>8.0</v>
      </c>
      <c r="G105" s="23">
        <v>25.0</v>
      </c>
      <c r="H105" s="50">
        <v>15.0</v>
      </c>
      <c r="I105" s="50">
        <v>22.5</v>
      </c>
      <c r="J105" s="50">
        <v>17.5</v>
      </c>
      <c r="K105" s="50">
        <v>20.0</v>
      </c>
      <c r="L105" s="22">
        <f t="shared" ref="L105:N105" si="92">SUMPRODUCT(transpose(D$23:D$27),($G105:$K105)/100)</f>
        <v>86.37868966</v>
      </c>
      <c r="M105" s="22">
        <f t="shared" si="92"/>
        <v>80.74756356</v>
      </c>
      <c r="N105" s="22">
        <f t="shared" si="92"/>
        <v>4.927596398</v>
      </c>
      <c r="O105" s="51" t="str">
        <f t="shared" si="23"/>
        <v>EasyOCR</v>
      </c>
    </row>
    <row r="106">
      <c r="A106" s="47" t="s">
        <v>119</v>
      </c>
      <c r="B106" s="53">
        <v>10.0</v>
      </c>
      <c r="C106" s="53">
        <v>6.0</v>
      </c>
      <c r="D106" s="53">
        <v>9.0</v>
      </c>
      <c r="E106" s="53">
        <v>8.0</v>
      </c>
      <c r="F106" s="53">
        <v>7.0</v>
      </c>
      <c r="G106" s="23">
        <v>25.0</v>
      </c>
      <c r="H106" s="50">
        <v>15.0</v>
      </c>
      <c r="I106" s="50">
        <v>22.5</v>
      </c>
      <c r="J106" s="50">
        <v>20.0</v>
      </c>
      <c r="K106" s="50">
        <v>17.5</v>
      </c>
      <c r="L106" s="22">
        <f t="shared" ref="L106:N106" si="93">SUMPRODUCT(transpose(D$23:D$27),($G106:$K106)/100)</f>
        <v>76.55010345</v>
      </c>
      <c r="M106" s="22">
        <f t="shared" si="93"/>
        <v>71.15486528</v>
      </c>
      <c r="N106" s="22">
        <f t="shared" si="93"/>
        <v>4.76061194</v>
      </c>
      <c r="O106" s="51" t="str">
        <f t="shared" si="23"/>
        <v>EasyOCR</v>
      </c>
    </row>
    <row r="107">
      <c r="A107" s="47" t="s">
        <v>120</v>
      </c>
      <c r="B107" s="53">
        <v>9.0</v>
      </c>
      <c r="C107" s="53">
        <v>7.0</v>
      </c>
      <c r="D107" s="53">
        <v>8.0</v>
      </c>
      <c r="E107" s="53">
        <v>10.0</v>
      </c>
      <c r="F107" s="53">
        <v>6.0</v>
      </c>
      <c r="G107" s="23">
        <v>22.5</v>
      </c>
      <c r="H107" s="50">
        <v>17.5</v>
      </c>
      <c r="I107" s="50">
        <v>20.0</v>
      </c>
      <c r="J107" s="50">
        <v>25.0</v>
      </c>
      <c r="K107" s="50">
        <v>15.0</v>
      </c>
      <c r="L107" s="22">
        <f t="shared" ref="L107:N107" si="94">SUMPRODUCT(transpose(D$23:D$27),($G107:$K107)/100)</f>
        <v>66.94651724</v>
      </c>
      <c r="M107" s="22">
        <f t="shared" si="94"/>
        <v>61.46316323</v>
      </c>
      <c r="N107" s="22">
        <f t="shared" si="94"/>
        <v>4.468699957</v>
      </c>
      <c r="O107" s="51" t="str">
        <f t="shared" si="23"/>
        <v>EasyOCR</v>
      </c>
    </row>
    <row r="108">
      <c r="A108" s="47" t="s">
        <v>121</v>
      </c>
      <c r="B108" s="53">
        <v>9.0</v>
      </c>
      <c r="C108" s="53">
        <v>7.0</v>
      </c>
      <c r="D108" s="53">
        <v>8.0</v>
      </c>
      <c r="E108" s="53">
        <v>6.0</v>
      </c>
      <c r="F108" s="53">
        <v>10.0</v>
      </c>
      <c r="G108" s="23">
        <v>22.5</v>
      </c>
      <c r="H108" s="50">
        <v>17.5</v>
      </c>
      <c r="I108" s="50">
        <v>20.0</v>
      </c>
      <c r="J108" s="50">
        <v>15.0</v>
      </c>
      <c r="K108" s="50">
        <v>25.0</v>
      </c>
      <c r="L108" s="22">
        <f t="shared" ref="L108:N108" si="95">SUMPRODUCT(transpose(D$23:D$27),($G108:$K108)/100)</f>
        <v>106.2608621</v>
      </c>
      <c r="M108" s="22">
        <f t="shared" si="95"/>
        <v>99.83395633</v>
      </c>
      <c r="N108" s="22">
        <f t="shared" si="95"/>
        <v>5.136637789</v>
      </c>
      <c r="O108" s="51" t="str">
        <f t="shared" si="23"/>
        <v>EasyOCR</v>
      </c>
    </row>
    <row r="109">
      <c r="A109" s="47" t="s">
        <v>122</v>
      </c>
      <c r="B109" s="53">
        <v>9.0</v>
      </c>
      <c r="C109" s="53">
        <v>7.0</v>
      </c>
      <c r="D109" s="53">
        <v>10.0</v>
      </c>
      <c r="E109" s="53">
        <v>8.0</v>
      </c>
      <c r="F109" s="53">
        <v>6.0</v>
      </c>
      <c r="G109" s="23">
        <v>22.5</v>
      </c>
      <c r="H109" s="50">
        <v>17.5</v>
      </c>
      <c r="I109" s="50">
        <v>25.0</v>
      </c>
      <c r="J109" s="50">
        <v>20.0</v>
      </c>
      <c r="K109" s="50">
        <v>15.0</v>
      </c>
      <c r="L109" s="22">
        <f t="shared" ref="L109:N109" si="96">SUMPRODUCT(transpose(D$23:D$27),($G109:$K109)/100)</f>
        <v>66.94651724</v>
      </c>
      <c r="M109" s="22">
        <f t="shared" si="96"/>
        <v>61.46316323</v>
      </c>
      <c r="N109" s="22">
        <f t="shared" si="96"/>
        <v>4.568555007</v>
      </c>
      <c r="O109" s="51" t="str">
        <f t="shared" si="23"/>
        <v>EasyOCR</v>
      </c>
    </row>
    <row r="110">
      <c r="A110" s="47" t="s">
        <v>123</v>
      </c>
      <c r="B110" s="53">
        <v>9.0</v>
      </c>
      <c r="C110" s="53">
        <v>7.0</v>
      </c>
      <c r="D110" s="53">
        <v>10.0</v>
      </c>
      <c r="E110" s="53">
        <v>6.0</v>
      </c>
      <c r="F110" s="53">
        <v>8.0</v>
      </c>
      <c r="G110" s="23">
        <v>22.5</v>
      </c>
      <c r="H110" s="50">
        <v>17.5</v>
      </c>
      <c r="I110" s="50">
        <v>25.0</v>
      </c>
      <c r="J110" s="50">
        <v>15.0</v>
      </c>
      <c r="K110" s="50">
        <v>20.0</v>
      </c>
      <c r="L110" s="22">
        <f t="shared" ref="L110:N110" si="97">SUMPRODUCT(transpose(D$23:D$27),($G110:$K110)/100)</f>
        <v>86.60368966</v>
      </c>
      <c r="M110" s="22">
        <f t="shared" si="97"/>
        <v>80.64855978</v>
      </c>
      <c r="N110" s="22">
        <f t="shared" si="97"/>
        <v>4.902523923</v>
      </c>
      <c r="O110" s="51" t="str">
        <f t="shared" si="23"/>
        <v>EasyOCR</v>
      </c>
    </row>
    <row r="111">
      <c r="A111" s="47" t="s">
        <v>124</v>
      </c>
      <c r="B111" s="53">
        <v>9.0</v>
      </c>
      <c r="C111" s="53">
        <v>7.0</v>
      </c>
      <c r="D111" s="53">
        <v>6.0</v>
      </c>
      <c r="E111" s="53">
        <v>8.0</v>
      </c>
      <c r="F111" s="53">
        <v>10.0</v>
      </c>
      <c r="G111" s="23">
        <v>22.5</v>
      </c>
      <c r="H111" s="50">
        <v>17.5</v>
      </c>
      <c r="I111" s="50">
        <v>15.0</v>
      </c>
      <c r="J111" s="50">
        <v>20.0</v>
      </c>
      <c r="K111" s="50">
        <v>25.0</v>
      </c>
      <c r="L111" s="22">
        <f t="shared" ref="L111:N111" si="98">SUMPRODUCT(transpose(D$23:D$27),($G111:$K111)/100)</f>
        <v>106.2608621</v>
      </c>
      <c r="M111" s="22">
        <f t="shared" si="98"/>
        <v>99.83395633</v>
      </c>
      <c r="N111" s="22">
        <f t="shared" si="98"/>
        <v>5.036782739</v>
      </c>
      <c r="O111" s="51" t="str">
        <f t="shared" si="23"/>
        <v>EasyOCR</v>
      </c>
    </row>
    <row r="112">
      <c r="A112" s="47" t="s">
        <v>125</v>
      </c>
      <c r="B112" s="53">
        <v>9.0</v>
      </c>
      <c r="C112" s="53">
        <v>7.0</v>
      </c>
      <c r="D112" s="53">
        <v>6.0</v>
      </c>
      <c r="E112" s="53">
        <v>10.0</v>
      </c>
      <c r="F112" s="53">
        <v>8.0</v>
      </c>
      <c r="G112" s="23">
        <v>22.5</v>
      </c>
      <c r="H112" s="50">
        <v>17.5</v>
      </c>
      <c r="I112" s="50">
        <v>15.0</v>
      </c>
      <c r="J112" s="50">
        <v>25.0</v>
      </c>
      <c r="K112" s="50">
        <v>20.0</v>
      </c>
      <c r="L112" s="22">
        <f t="shared" ref="L112:N112" si="99">SUMPRODUCT(transpose(D$23:D$27),($G112:$K112)/100)</f>
        <v>86.60368966</v>
      </c>
      <c r="M112" s="22">
        <f t="shared" si="99"/>
        <v>80.64855978</v>
      </c>
      <c r="N112" s="22">
        <f t="shared" si="99"/>
        <v>4.702813823</v>
      </c>
      <c r="O112" s="51" t="str">
        <f t="shared" si="23"/>
        <v>EasyOCR</v>
      </c>
    </row>
    <row r="113">
      <c r="A113" s="47" t="s">
        <v>126</v>
      </c>
      <c r="B113" s="53">
        <v>9.0</v>
      </c>
      <c r="C113" s="53">
        <v>8.0</v>
      </c>
      <c r="D113" s="53">
        <v>7.0</v>
      </c>
      <c r="E113" s="53">
        <v>10.0</v>
      </c>
      <c r="F113" s="53">
        <v>6.0</v>
      </c>
      <c r="G113" s="23">
        <v>22.5</v>
      </c>
      <c r="H113" s="50">
        <v>20.0</v>
      </c>
      <c r="I113" s="50">
        <v>17.5</v>
      </c>
      <c r="J113" s="50">
        <v>25.0</v>
      </c>
      <c r="K113" s="50">
        <v>15.0</v>
      </c>
      <c r="L113" s="22">
        <f t="shared" ref="L113:N113" si="100">SUMPRODUCT(transpose(D$23:D$27),($G113:$K113)/100)</f>
        <v>66.94651724</v>
      </c>
      <c r="M113" s="22">
        <f t="shared" si="100"/>
        <v>61.58915945</v>
      </c>
      <c r="N113" s="22">
        <f t="shared" si="100"/>
        <v>4.36075689</v>
      </c>
      <c r="O113" s="51" t="str">
        <f t="shared" si="23"/>
        <v>EasyOCR</v>
      </c>
    </row>
    <row r="114">
      <c r="A114" s="47" t="s">
        <v>127</v>
      </c>
      <c r="B114" s="53">
        <v>9.0</v>
      </c>
      <c r="C114" s="53">
        <v>8.0</v>
      </c>
      <c r="D114" s="53">
        <v>7.0</v>
      </c>
      <c r="E114" s="53">
        <v>6.0</v>
      </c>
      <c r="F114" s="53">
        <v>10.0</v>
      </c>
      <c r="G114" s="23">
        <v>22.5</v>
      </c>
      <c r="H114" s="50">
        <v>20.0</v>
      </c>
      <c r="I114" s="50">
        <v>17.5</v>
      </c>
      <c r="J114" s="50">
        <v>15.0</v>
      </c>
      <c r="K114" s="50">
        <v>25.0</v>
      </c>
      <c r="L114" s="22">
        <f t="shared" ref="L114:N114" si="101">SUMPRODUCT(transpose(D$23:D$27),($G114:$K114)/100)</f>
        <v>106.2608621</v>
      </c>
      <c r="M114" s="22">
        <f t="shared" si="101"/>
        <v>99.95995256</v>
      </c>
      <c r="N114" s="22">
        <f t="shared" si="101"/>
        <v>5.028694722</v>
      </c>
      <c r="O114" s="51" t="str">
        <f t="shared" si="23"/>
        <v>EasyOCR</v>
      </c>
    </row>
    <row r="115">
      <c r="A115" s="47" t="s">
        <v>128</v>
      </c>
      <c r="B115" s="53">
        <v>9.0</v>
      </c>
      <c r="C115" s="53">
        <v>8.0</v>
      </c>
      <c r="D115" s="53">
        <v>10.0</v>
      </c>
      <c r="E115" s="53">
        <v>7.0</v>
      </c>
      <c r="F115" s="53">
        <v>6.0</v>
      </c>
      <c r="G115" s="23">
        <v>22.5</v>
      </c>
      <c r="H115" s="50">
        <v>20.0</v>
      </c>
      <c r="I115" s="50">
        <v>25.0</v>
      </c>
      <c r="J115" s="50">
        <v>17.5</v>
      </c>
      <c r="K115" s="50">
        <v>15.0</v>
      </c>
      <c r="L115" s="22">
        <f t="shared" ref="L115:N115" si="102">SUMPRODUCT(transpose(D$23:D$27),($G115:$K115)/100)</f>
        <v>66.94651724</v>
      </c>
      <c r="M115" s="22">
        <f t="shared" si="102"/>
        <v>61.58915945</v>
      </c>
      <c r="N115" s="22">
        <f t="shared" si="102"/>
        <v>4.510539465</v>
      </c>
      <c r="O115" s="51" t="str">
        <f t="shared" si="23"/>
        <v>EasyOCR</v>
      </c>
    </row>
    <row r="116">
      <c r="A116" s="47" t="s">
        <v>129</v>
      </c>
      <c r="B116" s="53">
        <v>9.0</v>
      </c>
      <c r="C116" s="53">
        <v>8.0</v>
      </c>
      <c r="D116" s="53">
        <v>10.0</v>
      </c>
      <c r="E116" s="53">
        <v>6.0</v>
      </c>
      <c r="F116" s="53">
        <v>7.0</v>
      </c>
      <c r="G116" s="23">
        <v>22.5</v>
      </c>
      <c r="H116" s="50">
        <v>20.0</v>
      </c>
      <c r="I116" s="50">
        <v>25.0</v>
      </c>
      <c r="J116" s="50">
        <v>15.0</v>
      </c>
      <c r="K116" s="50">
        <v>17.5</v>
      </c>
      <c r="L116" s="22">
        <f t="shared" ref="L116:N116" si="103">SUMPRODUCT(transpose(D$23:D$27),($G116:$K116)/100)</f>
        <v>76.77510345</v>
      </c>
      <c r="M116" s="22">
        <f t="shared" si="103"/>
        <v>71.18185773</v>
      </c>
      <c r="N116" s="22">
        <f t="shared" si="103"/>
        <v>4.677523923</v>
      </c>
      <c r="O116" s="51" t="str">
        <f t="shared" si="23"/>
        <v>EasyOCR</v>
      </c>
    </row>
    <row r="117">
      <c r="A117" s="47" t="s">
        <v>130</v>
      </c>
      <c r="B117" s="53">
        <v>9.0</v>
      </c>
      <c r="C117" s="53">
        <v>8.0</v>
      </c>
      <c r="D117" s="53">
        <v>6.0</v>
      </c>
      <c r="E117" s="53">
        <v>7.0</v>
      </c>
      <c r="F117" s="53">
        <v>10.0</v>
      </c>
      <c r="G117" s="23">
        <v>22.5</v>
      </c>
      <c r="H117" s="50">
        <v>20.0</v>
      </c>
      <c r="I117" s="50">
        <v>15.0</v>
      </c>
      <c r="J117" s="50">
        <v>17.5</v>
      </c>
      <c r="K117" s="50">
        <v>25.0</v>
      </c>
      <c r="L117" s="22">
        <f t="shared" ref="L117:N117" si="104">SUMPRODUCT(transpose(D$23:D$27),($G117:$K117)/100)</f>
        <v>106.2608621</v>
      </c>
      <c r="M117" s="22">
        <f t="shared" si="104"/>
        <v>99.95995256</v>
      </c>
      <c r="N117" s="22">
        <f t="shared" si="104"/>
        <v>4.978767197</v>
      </c>
      <c r="O117" s="51" t="str">
        <f t="shared" si="23"/>
        <v>EasyOCR</v>
      </c>
    </row>
    <row r="118">
      <c r="A118" s="47" t="s">
        <v>131</v>
      </c>
      <c r="B118" s="53">
        <v>9.0</v>
      </c>
      <c r="C118" s="53">
        <v>8.0</v>
      </c>
      <c r="D118" s="53">
        <v>6.0</v>
      </c>
      <c r="E118" s="53">
        <v>10.0</v>
      </c>
      <c r="F118" s="53">
        <v>7.0</v>
      </c>
      <c r="G118" s="23">
        <v>22.5</v>
      </c>
      <c r="H118" s="50">
        <v>20.0</v>
      </c>
      <c r="I118" s="50">
        <v>15.0</v>
      </c>
      <c r="J118" s="50">
        <v>25.0</v>
      </c>
      <c r="K118" s="50">
        <v>17.5</v>
      </c>
      <c r="L118" s="22">
        <f t="shared" ref="L118:N118" si="105">SUMPRODUCT(transpose(D$23:D$27),($G118:$K118)/100)</f>
        <v>76.77510345</v>
      </c>
      <c r="M118" s="22">
        <f t="shared" si="105"/>
        <v>71.18185773</v>
      </c>
      <c r="N118" s="22">
        <f t="shared" si="105"/>
        <v>4.477813823</v>
      </c>
      <c r="O118" s="51" t="str">
        <f t="shared" si="23"/>
        <v>EasyOCR</v>
      </c>
    </row>
    <row r="119">
      <c r="A119" s="47" t="s">
        <v>132</v>
      </c>
      <c r="B119" s="53">
        <v>9.0</v>
      </c>
      <c r="C119" s="53">
        <v>10.0</v>
      </c>
      <c r="D119" s="53">
        <v>7.0</v>
      </c>
      <c r="E119" s="53">
        <v>8.0</v>
      </c>
      <c r="F119" s="53">
        <v>6.0</v>
      </c>
      <c r="G119" s="23">
        <v>22.5</v>
      </c>
      <c r="H119" s="50">
        <v>25.0</v>
      </c>
      <c r="I119" s="50">
        <v>17.5</v>
      </c>
      <c r="J119" s="50">
        <v>20.0</v>
      </c>
      <c r="K119" s="50">
        <v>15.0</v>
      </c>
      <c r="L119" s="22">
        <f t="shared" ref="L119:N119" si="106">SUMPRODUCT(transpose(D$23:D$27),($G119:$K119)/100)</f>
        <v>66.94651724</v>
      </c>
      <c r="M119" s="22">
        <f t="shared" si="106"/>
        <v>61.8411519</v>
      </c>
      <c r="N119" s="22">
        <f t="shared" si="106"/>
        <v>4.244725806</v>
      </c>
      <c r="O119" s="51" t="str">
        <f t="shared" si="23"/>
        <v>EasyOCR</v>
      </c>
    </row>
    <row r="120">
      <c r="A120" s="47" t="s">
        <v>133</v>
      </c>
      <c r="B120" s="53">
        <v>9.0</v>
      </c>
      <c r="C120" s="53">
        <v>10.0</v>
      </c>
      <c r="D120" s="53">
        <v>7.0</v>
      </c>
      <c r="E120" s="53">
        <v>6.0</v>
      </c>
      <c r="F120" s="53">
        <v>8.0</v>
      </c>
      <c r="G120" s="23">
        <v>22.5</v>
      </c>
      <c r="H120" s="50">
        <v>25.0</v>
      </c>
      <c r="I120" s="50">
        <v>17.5</v>
      </c>
      <c r="J120" s="50">
        <v>15.0</v>
      </c>
      <c r="K120" s="50">
        <v>20.0</v>
      </c>
      <c r="L120" s="22">
        <f t="shared" ref="L120:N120" si="107">SUMPRODUCT(transpose(D$23:D$27),($G120:$K120)/100)</f>
        <v>86.60368966</v>
      </c>
      <c r="M120" s="22">
        <f t="shared" si="107"/>
        <v>81.02654846</v>
      </c>
      <c r="N120" s="22">
        <f t="shared" si="107"/>
        <v>4.578694722</v>
      </c>
      <c r="O120" s="51" t="str">
        <f t="shared" si="23"/>
        <v>EasyOCR</v>
      </c>
    </row>
    <row r="121">
      <c r="A121" s="47" t="s">
        <v>134</v>
      </c>
      <c r="B121" s="53">
        <v>9.0</v>
      </c>
      <c r="C121" s="53">
        <v>10.0</v>
      </c>
      <c r="D121" s="53">
        <v>8.0</v>
      </c>
      <c r="E121" s="53">
        <v>7.0</v>
      </c>
      <c r="F121" s="53">
        <v>6.0</v>
      </c>
      <c r="G121" s="23">
        <v>22.5</v>
      </c>
      <c r="H121" s="50">
        <v>25.0</v>
      </c>
      <c r="I121" s="50">
        <v>20.0</v>
      </c>
      <c r="J121" s="50">
        <v>17.5</v>
      </c>
      <c r="K121" s="50">
        <v>15.0</v>
      </c>
      <c r="L121" s="22">
        <f t="shared" ref="L121:N121" si="108">SUMPRODUCT(transpose(D$23:D$27),($G121:$K121)/100)</f>
        <v>66.94651724</v>
      </c>
      <c r="M121" s="22">
        <f t="shared" si="108"/>
        <v>61.8411519</v>
      </c>
      <c r="N121" s="22">
        <f t="shared" si="108"/>
        <v>4.294653331</v>
      </c>
      <c r="O121" s="51" t="str">
        <f t="shared" si="23"/>
        <v>EasyOCR</v>
      </c>
    </row>
    <row r="122">
      <c r="A122" s="47" t="s">
        <v>135</v>
      </c>
      <c r="B122" s="53">
        <v>9.0</v>
      </c>
      <c r="C122" s="53">
        <v>10.0</v>
      </c>
      <c r="D122" s="53">
        <v>8.0</v>
      </c>
      <c r="E122" s="53">
        <v>6.0</v>
      </c>
      <c r="F122" s="53">
        <v>7.0</v>
      </c>
      <c r="G122" s="23">
        <v>22.5</v>
      </c>
      <c r="H122" s="50">
        <v>25.0</v>
      </c>
      <c r="I122" s="50">
        <v>20.0</v>
      </c>
      <c r="J122" s="50">
        <v>15.0</v>
      </c>
      <c r="K122" s="50">
        <v>17.5</v>
      </c>
      <c r="L122" s="22">
        <f t="shared" ref="L122:N122" si="109">SUMPRODUCT(transpose(D$23:D$27),($G122:$K122)/100)</f>
        <v>76.77510345</v>
      </c>
      <c r="M122" s="22">
        <f t="shared" si="109"/>
        <v>71.43385018</v>
      </c>
      <c r="N122" s="22">
        <f t="shared" si="109"/>
        <v>4.461637789</v>
      </c>
      <c r="O122" s="51" t="str">
        <f t="shared" si="23"/>
        <v>EasyOCR</v>
      </c>
    </row>
    <row r="123">
      <c r="A123" s="47" t="s">
        <v>136</v>
      </c>
      <c r="B123" s="53">
        <v>9.0</v>
      </c>
      <c r="C123" s="53">
        <v>10.0</v>
      </c>
      <c r="D123" s="53">
        <v>6.0</v>
      </c>
      <c r="E123" s="53">
        <v>7.0</v>
      </c>
      <c r="F123" s="53">
        <v>8.0</v>
      </c>
      <c r="G123" s="23">
        <v>22.5</v>
      </c>
      <c r="H123" s="50">
        <v>25.0</v>
      </c>
      <c r="I123" s="50">
        <v>15.0</v>
      </c>
      <c r="J123" s="50">
        <v>17.5</v>
      </c>
      <c r="K123" s="50">
        <v>20.0</v>
      </c>
      <c r="L123" s="22">
        <f t="shared" ref="L123:N123" si="110">SUMPRODUCT(transpose(D$23:D$27),($G123:$K123)/100)</f>
        <v>86.60368966</v>
      </c>
      <c r="M123" s="22">
        <f t="shared" si="110"/>
        <v>81.02654846</v>
      </c>
      <c r="N123" s="22">
        <f t="shared" si="110"/>
        <v>4.528767197</v>
      </c>
      <c r="O123" s="51" t="str">
        <f t="shared" si="23"/>
        <v>EasyOCR</v>
      </c>
    </row>
    <row r="124">
      <c r="A124" s="47" t="s">
        <v>137</v>
      </c>
      <c r="B124" s="53">
        <v>9.0</v>
      </c>
      <c r="C124" s="53">
        <v>10.0</v>
      </c>
      <c r="D124" s="53">
        <v>6.0</v>
      </c>
      <c r="E124" s="53">
        <v>8.0</v>
      </c>
      <c r="F124" s="53">
        <v>7.0</v>
      </c>
      <c r="G124" s="23">
        <v>22.5</v>
      </c>
      <c r="H124" s="50">
        <v>25.0</v>
      </c>
      <c r="I124" s="50">
        <v>15.0</v>
      </c>
      <c r="J124" s="50">
        <v>20.0</v>
      </c>
      <c r="K124" s="50">
        <v>17.5</v>
      </c>
      <c r="L124" s="22">
        <f t="shared" ref="L124:N124" si="111">SUMPRODUCT(transpose(D$23:D$27),($G124:$K124)/100)</f>
        <v>76.77510345</v>
      </c>
      <c r="M124" s="22">
        <f t="shared" si="111"/>
        <v>71.43385018</v>
      </c>
      <c r="N124" s="22">
        <f t="shared" si="111"/>
        <v>4.361782739</v>
      </c>
      <c r="O124" s="51" t="str">
        <f t="shared" si="23"/>
        <v>EasyOCR</v>
      </c>
    </row>
    <row r="125">
      <c r="A125" s="47" t="s">
        <v>138</v>
      </c>
      <c r="B125" s="53">
        <v>9.0</v>
      </c>
      <c r="C125" s="53">
        <v>6.0</v>
      </c>
      <c r="D125" s="53">
        <v>7.0</v>
      </c>
      <c r="E125" s="53">
        <v>8.0</v>
      </c>
      <c r="F125" s="53">
        <v>10.0</v>
      </c>
      <c r="G125" s="23">
        <v>22.5</v>
      </c>
      <c r="H125" s="50">
        <v>15.0</v>
      </c>
      <c r="I125" s="50">
        <v>17.5</v>
      </c>
      <c r="J125" s="50">
        <v>20.0</v>
      </c>
      <c r="K125" s="50">
        <v>25.0</v>
      </c>
      <c r="L125" s="22">
        <f t="shared" ref="L125:N125" si="112">SUMPRODUCT(transpose(D$23:D$27),($G125:$K125)/100)</f>
        <v>106.2608621</v>
      </c>
      <c r="M125" s="22">
        <f t="shared" si="112"/>
        <v>99.70796011</v>
      </c>
      <c r="N125" s="22">
        <f t="shared" si="112"/>
        <v>5.144725806</v>
      </c>
      <c r="O125" s="51" t="str">
        <f t="shared" si="23"/>
        <v>EasyOCR</v>
      </c>
    </row>
    <row r="126">
      <c r="A126" s="47" t="s">
        <v>139</v>
      </c>
      <c r="B126" s="53">
        <v>9.0</v>
      </c>
      <c r="C126" s="53">
        <v>6.0</v>
      </c>
      <c r="D126" s="53">
        <v>7.0</v>
      </c>
      <c r="E126" s="53">
        <v>10.0</v>
      </c>
      <c r="F126" s="53">
        <v>8.0</v>
      </c>
      <c r="G126" s="23">
        <v>22.5</v>
      </c>
      <c r="H126" s="50">
        <v>15.0</v>
      </c>
      <c r="I126" s="50">
        <v>17.5</v>
      </c>
      <c r="J126" s="50">
        <v>25.0</v>
      </c>
      <c r="K126" s="50">
        <v>20.0</v>
      </c>
      <c r="L126" s="22">
        <f t="shared" ref="L126:N126" si="113">SUMPRODUCT(transpose(D$23:D$27),($G126:$K126)/100)</f>
        <v>86.60368966</v>
      </c>
      <c r="M126" s="22">
        <f t="shared" si="113"/>
        <v>80.52256356</v>
      </c>
      <c r="N126" s="22">
        <f t="shared" si="113"/>
        <v>4.81075689</v>
      </c>
      <c r="O126" s="51" t="str">
        <f t="shared" si="23"/>
        <v>EasyOCR</v>
      </c>
    </row>
    <row r="127">
      <c r="A127" s="47" t="s">
        <v>140</v>
      </c>
      <c r="B127" s="53">
        <v>9.0</v>
      </c>
      <c r="C127" s="53">
        <v>6.0</v>
      </c>
      <c r="D127" s="53">
        <v>8.0</v>
      </c>
      <c r="E127" s="53">
        <v>7.0</v>
      </c>
      <c r="F127" s="53">
        <v>10.0</v>
      </c>
      <c r="G127" s="23">
        <v>22.5</v>
      </c>
      <c r="H127" s="50">
        <v>15.0</v>
      </c>
      <c r="I127" s="50">
        <v>20.0</v>
      </c>
      <c r="J127" s="50">
        <v>17.5</v>
      </c>
      <c r="K127" s="50">
        <v>25.0</v>
      </c>
      <c r="L127" s="22">
        <f t="shared" ref="L127:N127" si="114">SUMPRODUCT(transpose(D$23:D$27),($G127:$K127)/100)</f>
        <v>106.2608621</v>
      </c>
      <c r="M127" s="22">
        <f t="shared" si="114"/>
        <v>99.70796011</v>
      </c>
      <c r="N127" s="22">
        <f t="shared" si="114"/>
        <v>5.194653331</v>
      </c>
      <c r="O127" s="51" t="str">
        <f t="shared" si="23"/>
        <v>EasyOCR</v>
      </c>
    </row>
    <row r="128">
      <c r="A128" s="47" t="s">
        <v>141</v>
      </c>
      <c r="B128" s="53">
        <v>9.0</v>
      </c>
      <c r="C128" s="53">
        <v>6.0</v>
      </c>
      <c r="D128" s="53">
        <v>8.0</v>
      </c>
      <c r="E128" s="53">
        <v>10.0</v>
      </c>
      <c r="F128" s="53">
        <v>7.0</v>
      </c>
      <c r="G128" s="23">
        <v>22.5</v>
      </c>
      <c r="H128" s="50">
        <v>15.0</v>
      </c>
      <c r="I128" s="50">
        <v>20.0</v>
      </c>
      <c r="J128" s="50">
        <v>25.0</v>
      </c>
      <c r="K128" s="50">
        <v>17.5</v>
      </c>
      <c r="L128" s="22">
        <f t="shared" ref="L128:N128" si="115">SUMPRODUCT(transpose(D$23:D$27),($G128:$K128)/100)</f>
        <v>76.77510345</v>
      </c>
      <c r="M128" s="22">
        <f t="shared" si="115"/>
        <v>70.92986528</v>
      </c>
      <c r="N128" s="22">
        <f t="shared" si="115"/>
        <v>4.693699957</v>
      </c>
      <c r="O128" s="51" t="str">
        <f t="shared" si="23"/>
        <v>EasyOCR</v>
      </c>
    </row>
    <row r="129">
      <c r="A129" s="47" t="s">
        <v>142</v>
      </c>
      <c r="B129" s="53">
        <v>9.0</v>
      </c>
      <c r="C129" s="53">
        <v>6.0</v>
      </c>
      <c r="D129" s="53">
        <v>10.0</v>
      </c>
      <c r="E129" s="53">
        <v>7.0</v>
      </c>
      <c r="F129" s="53">
        <v>8.0</v>
      </c>
      <c r="G129" s="23">
        <v>22.5</v>
      </c>
      <c r="H129" s="50">
        <v>15.0</v>
      </c>
      <c r="I129" s="50">
        <v>25.0</v>
      </c>
      <c r="J129" s="50">
        <v>17.5</v>
      </c>
      <c r="K129" s="50">
        <v>20.0</v>
      </c>
      <c r="L129" s="22">
        <f t="shared" ref="L129:N129" si="116">SUMPRODUCT(transpose(D$23:D$27),($G129:$K129)/100)</f>
        <v>86.60368966</v>
      </c>
      <c r="M129" s="22">
        <f t="shared" si="116"/>
        <v>80.52256356</v>
      </c>
      <c r="N129" s="22">
        <f t="shared" si="116"/>
        <v>4.960539465</v>
      </c>
      <c r="O129" s="51" t="str">
        <f t="shared" si="23"/>
        <v>EasyOCR</v>
      </c>
    </row>
    <row r="130">
      <c r="A130" s="47" t="s">
        <v>143</v>
      </c>
      <c r="B130" s="53">
        <v>9.0</v>
      </c>
      <c r="C130" s="53">
        <v>6.0</v>
      </c>
      <c r="D130" s="53">
        <v>10.0</v>
      </c>
      <c r="E130" s="53">
        <v>8.0</v>
      </c>
      <c r="F130" s="53">
        <v>7.0</v>
      </c>
      <c r="G130" s="23">
        <v>22.5</v>
      </c>
      <c r="H130" s="50">
        <v>15.0</v>
      </c>
      <c r="I130" s="50">
        <v>25.0</v>
      </c>
      <c r="J130" s="50">
        <v>20.0</v>
      </c>
      <c r="K130" s="50">
        <v>17.5</v>
      </c>
      <c r="L130" s="22">
        <f t="shared" ref="L130:N130" si="117">SUMPRODUCT(transpose(D$23:D$27),($G130:$K130)/100)</f>
        <v>76.77510345</v>
      </c>
      <c r="M130" s="22">
        <f t="shared" si="117"/>
        <v>70.92986528</v>
      </c>
      <c r="N130" s="22">
        <f t="shared" si="117"/>
        <v>4.793555007</v>
      </c>
      <c r="O130" s="51" t="str">
        <f t="shared" si="23"/>
        <v>EasyOCR</v>
      </c>
    </row>
    <row r="131">
      <c r="A131" s="47" t="s">
        <v>144</v>
      </c>
      <c r="B131" s="53">
        <v>6.0</v>
      </c>
      <c r="C131" s="53">
        <v>7.0</v>
      </c>
      <c r="D131" s="53">
        <v>8.0</v>
      </c>
      <c r="E131" s="53">
        <v>10.0</v>
      </c>
      <c r="F131" s="53">
        <v>9.0</v>
      </c>
      <c r="G131" s="23">
        <v>15.0</v>
      </c>
      <c r="H131" s="50">
        <v>17.5</v>
      </c>
      <c r="I131" s="50">
        <v>20.0</v>
      </c>
      <c r="J131" s="50">
        <v>25.0</v>
      </c>
      <c r="K131" s="50">
        <v>22.5</v>
      </c>
      <c r="L131" s="22">
        <f t="shared" ref="L131:N131" si="118">SUMPRODUCT(transpose(D$23:D$27),($G131:$K131)/100)</f>
        <v>97.10727586</v>
      </c>
      <c r="M131" s="22">
        <f t="shared" si="118"/>
        <v>89.56625806</v>
      </c>
      <c r="N131" s="22">
        <f t="shared" si="118"/>
        <v>4.918699957</v>
      </c>
      <c r="O131" s="51" t="str">
        <f t="shared" si="23"/>
        <v>EasyOCR</v>
      </c>
    </row>
    <row r="132">
      <c r="A132" s="47" t="s">
        <v>145</v>
      </c>
      <c r="B132" s="53">
        <v>6.0</v>
      </c>
      <c r="C132" s="53">
        <v>7.0</v>
      </c>
      <c r="D132" s="53">
        <v>8.0</v>
      </c>
      <c r="E132" s="53">
        <v>9.0</v>
      </c>
      <c r="F132" s="53">
        <v>10.0</v>
      </c>
      <c r="G132" s="23">
        <v>15.0</v>
      </c>
      <c r="H132" s="50">
        <v>17.5</v>
      </c>
      <c r="I132" s="50">
        <v>20.0</v>
      </c>
      <c r="J132" s="50">
        <v>22.5</v>
      </c>
      <c r="K132" s="50">
        <v>25.0</v>
      </c>
      <c r="L132" s="22">
        <f t="shared" ref="L132:N132" si="119">SUMPRODUCT(transpose(D$23:D$27),($G132:$K132)/100)</f>
        <v>106.9358621</v>
      </c>
      <c r="M132" s="22">
        <f t="shared" si="119"/>
        <v>99.15895633</v>
      </c>
      <c r="N132" s="22">
        <f t="shared" si="119"/>
        <v>5.085684415</v>
      </c>
      <c r="O132" s="51" t="str">
        <f t="shared" si="23"/>
        <v>EasyOCR</v>
      </c>
    </row>
    <row r="133">
      <c r="A133" s="47" t="s">
        <v>146</v>
      </c>
      <c r="B133" s="53">
        <v>6.0</v>
      </c>
      <c r="C133" s="53">
        <v>7.0</v>
      </c>
      <c r="D133" s="53">
        <v>10.0</v>
      </c>
      <c r="E133" s="53">
        <v>8.0</v>
      </c>
      <c r="F133" s="53">
        <v>9.0</v>
      </c>
      <c r="G133" s="23">
        <v>15.0</v>
      </c>
      <c r="H133" s="50">
        <v>17.5</v>
      </c>
      <c r="I133" s="50">
        <v>25.0</v>
      </c>
      <c r="J133" s="50">
        <v>20.0</v>
      </c>
      <c r="K133" s="50">
        <v>22.5</v>
      </c>
      <c r="L133" s="22">
        <f t="shared" ref="L133:N133" si="120">SUMPRODUCT(transpose(D$23:D$27),($G133:$K133)/100)</f>
        <v>97.10727586</v>
      </c>
      <c r="M133" s="22">
        <f t="shared" si="120"/>
        <v>89.56625806</v>
      </c>
      <c r="N133" s="22">
        <f t="shared" si="120"/>
        <v>5.018555007</v>
      </c>
      <c r="O133" s="51" t="str">
        <f t="shared" si="23"/>
        <v>EasyOCR</v>
      </c>
    </row>
    <row r="134">
      <c r="A134" s="47" t="s">
        <v>147</v>
      </c>
      <c r="B134" s="53">
        <v>6.0</v>
      </c>
      <c r="C134" s="53">
        <v>7.0</v>
      </c>
      <c r="D134" s="53">
        <v>10.0</v>
      </c>
      <c r="E134" s="53">
        <v>9.0</v>
      </c>
      <c r="F134" s="53">
        <v>8.0</v>
      </c>
      <c r="G134" s="23">
        <v>15.0</v>
      </c>
      <c r="H134" s="50">
        <v>17.5</v>
      </c>
      <c r="I134" s="50">
        <v>25.0</v>
      </c>
      <c r="J134" s="50">
        <v>22.5</v>
      </c>
      <c r="K134" s="50">
        <v>20.0</v>
      </c>
      <c r="L134" s="22">
        <f t="shared" ref="L134:N134" si="121">SUMPRODUCT(transpose(D$23:D$27),($G134:$K134)/100)</f>
        <v>87.27868966</v>
      </c>
      <c r="M134" s="22">
        <f t="shared" si="121"/>
        <v>79.97355978</v>
      </c>
      <c r="N134" s="22">
        <f t="shared" si="121"/>
        <v>4.851570549</v>
      </c>
      <c r="O134" s="51" t="str">
        <f t="shared" si="23"/>
        <v>EasyOCR</v>
      </c>
    </row>
    <row r="135">
      <c r="A135" s="47" t="s">
        <v>148</v>
      </c>
      <c r="B135" s="53">
        <v>6.0</v>
      </c>
      <c r="C135" s="53">
        <v>7.0</v>
      </c>
      <c r="D135" s="53">
        <v>9.0</v>
      </c>
      <c r="E135" s="53">
        <v>8.0</v>
      </c>
      <c r="F135" s="53">
        <v>10.0</v>
      </c>
      <c r="G135" s="23">
        <v>15.0</v>
      </c>
      <c r="H135" s="50">
        <v>17.5</v>
      </c>
      <c r="I135" s="50">
        <v>22.5</v>
      </c>
      <c r="J135" s="50">
        <v>20.0</v>
      </c>
      <c r="K135" s="50">
        <v>25.0</v>
      </c>
      <c r="L135" s="22">
        <f t="shared" ref="L135:N135" si="122">SUMPRODUCT(transpose(D$23:D$27),($G135:$K135)/100)</f>
        <v>106.9358621</v>
      </c>
      <c r="M135" s="22">
        <f t="shared" si="122"/>
        <v>99.15895633</v>
      </c>
      <c r="N135" s="22">
        <f t="shared" si="122"/>
        <v>5.13561194</v>
      </c>
      <c r="O135" s="51" t="str">
        <f t="shared" si="23"/>
        <v>EasyOCR</v>
      </c>
    </row>
    <row r="136">
      <c r="A136" s="47" t="s">
        <v>149</v>
      </c>
      <c r="B136" s="53">
        <v>6.0</v>
      </c>
      <c r="C136" s="53">
        <v>7.0</v>
      </c>
      <c r="D136" s="53">
        <v>9.0</v>
      </c>
      <c r="E136" s="53">
        <v>10.0</v>
      </c>
      <c r="F136" s="53">
        <v>8.0</v>
      </c>
      <c r="G136" s="23">
        <v>15.0</v>
      </c>
      <c r="H136" s="50">
        <v>17.5</v>
      </c>
      <c r="I136" s="50">
        <v>22.5</v>
      </c>
      <c r="J136" s="50">
        <v>25.0</v>
      </c>
      <c r="K136" s="50">
        <v>20.0</v>
      </c>
      <c r="L136" s="22">
        <f t="shared" ref="L136:N136" si="123">SUMPRODUCT(transpose(D$23:D$27),($G136:$K136)/100)</f>
        <v>87.27868966</v>
      </c>
      <c r="M136" s="22">
        <f t="shared" si="123"/>
        <v>79.97355978</v>
      </c>
      <c r="N136" s="22">
        <f t="shared" si="123"/>
        <v>4.801643024</v>
      </c>
      <c r="O136" s="51" t="str">
        <f t="shared" si="23"/>
        <v>EasyOCR</v>
      </c>
    </row>
    <row r="137">
      <c r="A137" s="47" t="s">
        <v>150</v>
      </c>
      <c r="B137" s="53">
        <v>6.0</v>
      </c>
      <c r="C137" s="53">
        <v>8.0</v>
      </c>
      <c r="D137" s="53">
        <v>7.0</v>
      </c>
      <c r="E137" s="53">
        <v>10.0</v>
      </c>
      <c r="F137" s="53">
        <v>9.0</v>
      </c>
      <c r="G137" s="23">
        <v>15.0</v>
      </c>
      <c r="H137" s="50">
        <v>20.0</v>
      </c>
      <c r="I137" s="50">
        <v>17.5</v>
      </c>
      <c r="J137" s="50">
        <v>25.0</v>
      </c>
      <c r="K137" s="50">
        <v>22.5</v>
      </c>
      <c r="L137" s="22">
        <f t="shared" ref="L137:N137" si="124">SUMPRODUCT(transpose(D$23:D$27),($G137:$K137)/100)</f>
        <v>97.10727586</v>
      </c>
      <c r="M137" s="22">
        <f t="shared" si="124"/>
        <v>89.69225428</v>
      </c>
      <c r="N137" s="22">
        <f t="shared" si="124"/>
        <v>4.81075689</v>
      </c>
      <c r="O137" s="51" t="str">
        <f t="shared" si="23"/>
        <v>EasyOCR</v>
      </c>
    </row>
    <row r="138">
      <c r="A138" s="47" t="s">
        <v>151</v>
      </c>
      <c r="B138" s="53">
        <v>6.0</v>
      </c>
      <c r="C138" s="53">
        <v>8.0</v>
      </c>
      <c r="D138" s="53">
        <v>7.0</v>
      </c>
      <c r="E138" s="53">
        <v>9.0</v>
      </c>
      <c r="F138" s="53">
        <v>10.0</v>
      </c>
      <c r="G138" s="23">
        <v>15.0</v>
      </c>
      <c r="H138" s="50">
        <v>20.0</v>
      </c>
      <c r="I138" s="50">
        <v>17.5</v>
      </c>
      <c r="J138" s="50">
        <v>22.5</v>
      </c>
      <c r="K138" s="50">
        <v>25.0</v>
      </c>
      <c r="L138" s="22">
        <f t="shared" ref="L138:N138" si="125">SUMPRODUCT(transpose(D$23:D$27),($G138:$K138)/100)</f>
        <v>106.9358621</v>
      </c>
      <c r="M138" s="22">
        <f t="shared" si="125"/>
        <v>99.28495256</v>
      </c>
      <c r="N138" s="22">
        <f t="shared" si="125"/>
        <v>4.977741348</v>
      </c>
      <c r="O138" s="51" t="str">
        <f t="shared" si="23"/>
        <v>EasyOCR</v>
      </c>
    </row>
    <row r="139">
      <c r="A139" s="47" t="s">
        <v>152</v>
      </c>
      <c r="B139" s="53">
        <v>6.0</v>
      </c>
      <c r="C139" s="53">
        <v>8.0</v>
      </c>
      <c r="D139" s="53">
        <v>10.0</v>
      </c>
      <c r="E139" s="53">
        <v>7.0</v>
      </c>
      <c r="F139" s="53">
        <v>9.0</v>
      </c>
      <c r="G139" s="23">
        <v>15.0</v>
      </c>
      <c r="H139" s="50">
        <v>20.0</v>
      </c>
      <c r="I139" s="50">
        <v>25.0</v>
      </c>
      <c r="J139" s="50">
        <v>17.5</v>
      </c>
      <c r="K139" s="50">
        <v>22.5</v>
      </c>
      <c r="L139" s="22">
        <f t="shared" ref="L139:N139" si="126">SUMPRODUCT(transpose(D$23:D$27),($G139:$K139)/100)</f>
        <v>97.10727586</v>
      </c>
      <c r="M139" s="22">
        <f t="shared" si="126"/>
        <v>89.69225428</v>
      </c>
      <c r="N139" s="22">
        <f t="shared" si="126"/>
        <v>4.960539465</v>
      </c>
      <c r="O139" s="51" t="str">
        <f t="shared" si="23"/>
        <v>EasyOCR</v>
      </c>
    </row>
    <row r="140">
      <c r="A140" s="47" t="s">
        <v>153</v>
      </c>
      <c r="B140" s="53">
        <v>6.0</v>
      </c>
      <c r="C140" s="53">
        <v>8.0</v>
      </c>
      <c r="D140" s="53">
        <v>10.0</v>
      </c>
      <c r="E140" s="53">
        <v>9.0</v>
      </c>
      <c r="F140" s="53">
        <v>7.0</v>
      </c>
      <c r="G140" s="23">
        <v>15.0</v>
      </c>
      <c r="H140" s="50">
        <v>20.0</v>
      </c>
      <c r="I140" s="50">
        <v>25.0</v>
      </c>
      <c r="J140" s="50">
        <v>22.5</v>
      </c>
      <c r="K140" s="50">
        <v>17.5</v>
      </c>
      <c r="L140" s="22">
        <f t="shared" ref="L140:N140" si="127">SUMPRODUCT(transpose(D$23:D$27),($G140:$K140)/100)</f>
        <v>77.45010345</v>
      </c>
      <c r="M140" s="22">
        <f t="shared" si="127"/>
        <v>70.50685773</v>
      </c>
      <c r="N140" s="22">
        <f t="shared" si="127"/>
        <v>4.626570549</v>
      </c>
      <c r="O140" s="51" t="str">
        <f t="shared" si="23"/>
        <v>EasyOCR</v>
      </c>
    </row>
    <row r="141">
      <c r="A141" s="47" t="s">
        <v>154</v>
      </c>
      <c r="B141" s="53">
        <v>6.0</v>
      </c>
      <c r="C141" s="53">
        <v>8.0</v>
      </c>
      <c r="D141" s="53">
        <v>9.0</v>
      </c>
      <c r="E141" s="53">
        <v>7.0</v>
      </c>
      <c r="F141" s="53">
        <v>10.0</v>
      </c>
      <c r="G141" s="23">
        <v>15.0</v>
      </c>
      <c r="H141" s="50">
        <v>20.0</v>
      </c>
      <c r="I141" s="50">
        <v>22.5</v>
      </c>
      <c r="J141" s="50">
        <v>17.5</v>
      </c>
      <c r="K141" s="50">
        <v>25.0</v>
      </c>
      <c r="L141" s="22">
        <f t="shared" ref="L141:N141" si="128">SUMPRODUCT(transpose(D$23:D$27),($G141:$K141)/100)</f>
        <v>106.9358621</v>
      </c>
      <c r="M141" s="22">
        <f t="shared" si="128"/>
        <v>99.28495256</v>
      </c>
      <c r="N141" s="22">
        <f t="shared" si="128"/>
        <v>5.077596398</v>
      </c>
      <c r="O141" s="51" t="str">
        <f t="shared" si="23"/>
        <v>EasyOCR</v>
      </c>
    </row>
    <row r="142">
      <c r="A142" s="47" t="s">
        <v>155</v>
      </c>
      <c r="B142" s="53">
        <v>6.0</v>
      </c>
      <c r="C142" s="53">
        <v>8.0</v>
      </c>
      <c r="D142" s="53">
        <v>9.0</v>
      </c>
      <c r="E142" s="53">
        <v>10.0</v>
      </c>
      <c r="F142" s="53">
        <v>7.0</v>
      </c>
      <c r="G142" s="23">
        <v>15.0</v>
      </c>
      <c r="H142" s="50">
        <v>20.0</v>
      </c>
      <c r="I142" s="50">
        <v>22.5</v>
      </c>
      <c r="J142" s="50">
        <v>25.0</v>
      </c>
      <c r="K142" s="50">
        <v>17.5</v>
      </c>
      <c r="L142" s="22">
        <f t="shared" ref="L142:N142" si="129">SUMPRODUCT(transpose(D$23:D$27),($G142:$K142)/100)</f>
        <v>77.45010345</v>
      </c>
      <c r="M142" s="22">
        <f t="shared" si="129"/>
        <v>70.50685773</v>
      </c>
      <c r="N142" s="22">
        <f t="shared" si="129"/>
        <v>4.576643024</v>
      </c>
      <c r="O142" s="51" t="str">
        <f t="shared" si="23"/>
        <v>EasyOCR</v>
      </c>
    </row>
    <row r="143">
      <c r="A143" s="47" t="s">
        <v>156</v>
      </c>
      <c r="B143" s="53">
        <v>6.0</v>
      </c>
      <c r="C143" s="53">
        <v>10.0</v>
      </c>
      <c r="D143" s="53">
        <v>7.0</v>
      </c>
      <c r="E143" s="53">
        <v>8.0</v>
      </c>
      <c r="F143" s="53">
        <v>9.0</v>
      </c>
      <c r="G143" s="23">
        <v>15.0</v>
      </c>
      <c r="H143" s="50">
        <v>25.0</v>
      </c>
      <c r="I143" s="50">
        <v>17.5</v>
      </c>
      <c r="J143" s="50">
        <v>20.0</v>
      </c>
      <c r="K143" s="50">
        <v>22.5</v>
      </c>
      <c r="L143" s="22">
        <f t="shared" ref="L143:N143" si="130">SUMPRODUCT(transpose(D$23:D$27),($G143:$K143)/100)</f>
        <v>97.10727586</v>
      </c>
      <c r="M143" s="22">
        <f t="shared" si="130"/>
        <v>89.94424673</v>
      </c>
      <c r="N143" s="22">
        <f t="shared" si="130"/>
        <v>4.694725806</v>
      </c>
      <c r="O143" s="51" t="str">
        <f t="shared" si="23"/>
        <v>EasyOCR</v>
      </c>
    </row>
    <row r="144">
      <c r="A144" s="47" t="s">
        <v>157</v>
      </c>
      <c r="B144" s="53">
        <v>6.0</v>
      </c>
      <c r="C144" s="53">
        <v>10.0</v>
      </c>
      <c r="D144" s="53">
        <v>7.0</v>
      </c>
      <c r="E144" s="53">
        <v>9.0</v>
      </c>
      <c r="F144" s="53">
        <v>8.0</v>
      </c>
      <c r="G144" s="23">
        <v>15.0</v>
      </c>
      <c r="H144" s="50">
        <v>25.0</v>
      </c>
      <c r="I144" s="50">
        <v>17.5</v>
      </c>
      <c r="J144" s="50">
        <v>22.5</v>
      </c>
      <c r="K144" s="50">
        <v>20.0</v>
      </c>
      <c r="L144" s="22">
        <f t="shared" ref="L144:N144" si="131">SUMPRODUCT(transpose(D$23:D$27),($G144:$K144)/100)</f>
        <v>87.27868966</v>
      </c>
      <c r="M144" s="22">
        <f t="shared" si="131"/>
        <v>80.35154846</v>
      </c>
      <c r="N144" s="22">
        <f t="shared" si="131"/>
        <v>4.527741348</v>
      </c>
      <c r="O144" s="51" t="str">
        <f t="shared" si="23"/>
        <v>EasyOCR</v>
      </c>
    </row>
    <row r="145">
      <c r="A145" s="47" t="s">
        <v>158</v>
      </c>
      <c r="B145" s="53">
        <v>6.0</v>
      </c>
      <c r="C145" s="53">
        <v>10.0</v>
      </c>
      <c r="D145" s="53">
        <v>8.0</v>
      </c>
      <c r="E145" s="53">
        <v>7.0</v>
      </c>
      <c r="F145" s="53">
        <v>9.0</v>
      </c>
      <c r="G145" s="23">
        <v>15.0</v>
      </c>
      <c r="H145" s="50">
        <v>25.0</v>
      </c>
      <c r="I145" s="50">
        <v>20.0</v>
      </c>
      <c r="J145" s="50">
        <v>17.5</v>
      </c>
      <c r="K145" s="50">
        <v>22.5</v>
      </c>
      <c r="L145" s="22">
        <f t="shared" ref="L145:N145" si="132">SUMPRODUCT(transpose(D$23:D$27),($G145:$K145)/100)</f>
        <v>97.10727586</v>
      </c>
      <c r="M145" s="22">
        <f t="shared" si="132"/>
        <v>89.94424673</v>
      </c>
      <c r="N145" s="22">
        <f t="shared" si="132"/>
        <v>4.744653331</v>
      </c>
      <c r="O145" s="51" t="str">
        <f t="shared" si="23"/>
        <v>EasyOCR</v>
      </c>
    </row>
    <row r="146">
      <c r="A146" s="47" t="s">
        <v>159</v>
      </c>
      <c r="B146" s="53">
        <v>6.0</v>
      </c>
      <c r="C146" s="53">
        <v>10.0</v>
      </c>
      <c r="D146" s="53">
        <v>8.0</v>
      </c>
      <c r="E146" s="53">
        <v>9.0</v>
      </c>
      <c r="F146" s="53">
        <v>7.0</v>
      </c>
      <c r="G146" s="23">
        <v>15.0</v>
      </c>
      <c r="H146" s="50">
        <v>25.0</v>
      </c>
      <c r="I146" s="50">
        <v>20.0</v>
      </c>
      <c r="J146" s="50">
        <v>22.5</v>
      </c>
      <c r="K146" s="50">
        <v>17.5</v>
      </c>
      <c r="L146" s="22">
        <f t="shared" ref="L146:N146" si="133">SUMPRODUCT(transpose(D$23:D$27),($G146:$K146)/100)</f>
        <v>77.45010345</v>
      </c>
      <c r="M146" s="22">
        <f t="shared" si="133"/>
        <v>70.75885018</v>
      </c>
      <c r="N146" s="22">
        <f t="shared" si="133"/>
        <v>4.410684415</v>
      </c>
      <c r="O146" s="51" t="str">
        <f t="shared" si="23"/>
        <v>EasyOCR</v>
      </c>
    </row>
    <row r="147">
      <c r="A147" s="47" t="s">
        <v>160</v>
      </c>
      <c r="B147" s="53">
        <v>6.0</v>
      </c>
      <c r="C147" s="53">
        <v>10.0</v>
      </c>
      <c r="D147" s="53">
        <v>9.0</v>
      </c>
      <c r="E147" s="53">
        <v>7.0</v>
      </c>
      <c r="F147" s="53">
        <v>8.0</v>
      </c>
      <c r="G147" s="23">
        <v>15.0</v>
      </c>
      <c r="H147" s="50">
        <v>25.0</v>
      </c>
      <c r="I147" s="50">
        <v>22.5</v>
      </c>
      <c r="J147" s="50">
        <v>17.5</v>
      </c>
      <c r="K147" s="50">
        <v>20.0</v>
      </c>
      <c r="L147" s="22">
        <f t="shared" ref="L147:N147" si="134">SUMPRODUCT(transpose(D$23:D$27),($G147:$K147)/100)</f>
        <v>87.27868966</v>
      </c>
      <c r="M147" s="22">
        <f t="shared" si="134"/>
        <v>80.35154846</v>
      </c>
      <c r="N147" s="22">
        <f t="shared" si="134"/>
        <v>4.627596398</v>
      </c>
      <c r="O147" s="51" t="str">
        <f t="shared" si="23"/>
        <v>EasyOCR</v>
      </c>
    </row>
    <row r="148">
      <c r="A148" s="47" t="s">
        <v>161</v>
      </c>
      <c r="B148" s="53">
        <v>6.0</v>
      </c>
      <c r="C148" s="53">
        <v>10.0</v>
      </c>
      <c r="D148" s="53">
        <v>9.0</v>
      </c>
      <c r="E148" s="53">
        <v>8.0</v>
      </c>
      <c r="F148" s="53">
        <v>7.0</v>
      </c>
      <c r="G148" s="23">
        <v>15.0</v>
      </c>
      <c r="H148" s="50">
        <v>25.0</v>
      </c>
      <c r="I148" s="50">
        <v>22.5</v>
      </c>
      <c r="J148" s="50">
        <v>20.0</v>
      </c>
      <c r="K148" s="50">
        <v>17.5</v>
      </c>
      <c r="L148" s="22">
        <f t="shared" ref="L148:N148" si="135">SUMPRODUCT(transpose(D$23:D$27),($G148:$K148)/100)</f>
        <v>77.45010345</v>
      </c>
      <c r="M148" s="22">
        <f t="shared" si="135"/>
        <v>70.75885018</v>
      </c>
      <c r="N148" s="22">
        <f t="shared" si="135"/>
        <v>4.46061194</v>
      </c>
      <c r="O148" s="51" t="str">
        <f t="shared" si="23"/>
        <v>EasyOCR</v>
      </c>
    </row>
    <row r="149">
      <c r="A149" s="47" t="s">
        <v>162</v>
      </c>
      <c r="B149" s="53">
        <v>6.0</v>
      </c>
      <c r="C149" s="53">
        <v>9.0</v>
      </c>
      <c r="D149" s="53">
        <v>7.0</v>
      </c>
      <c r="E149" s="53">
        <v>8.0</v>
      </c>
      <c r="F149" s="53">
        <v>10.0</v>
      </c>
      <c r="G149" s="23">
        <v>15.0</v>
      </c>
      <c r="H149" s="50">
        <v>22.5</v>
      </c>
      <c r="I149" s="50">
        <v>17.5</v>
      </c>
      <c r="J149" s="50">
        <v>20.0</v>
      </c>
      <c r="K149" s="50">
        <v>25.0</v>
      </c>
      <c r="L149" s="22">
        <f t="shared" ref="L149:N149" si="136">SUMPRODUCT(transpose(D$23:D$27),($G149:$K149)/100)</f>
        <v>106.9358621</v>
      </c>
      <c r="M149" s="22">
        <f t="shared" si="136"/>
        <v>99.41094878</v>
      </c>
      <c r="N149" s="22">
        <f t="shared" si="136"/>
        <v>4.919725806</v>
      </c>
      <c r="O149" s="51" t="str">
        <f t="shared" si="23"/>
        <v>EasyOCR</v>
      </c>
    </row>
    <row r="150">
      <c r="A150" s="47" t="s">
        <v>163</v>
      </c>
      <c r="B150" s="53">
        <v>6.0</v>
      </c>
      <c r="C150" s="53">
        <v>9.0</v>
      </c>
      <c r="D150" s="53">
        <v>7.0</v>
      </c>
      <c r="E150" s="53">
        <v>10.0</v>
      </c>
      <c r="F150" s="53">
        <v>8.0</v>
      </c>
      <c r="G150" s="23">
        <v>15.0</v>
      </c>
      <c r="H150" s="50">
        <v>22.5</v>
      </c>
      <c r="I150" s="50">
        <v>17.5</v>
      </c>
      <c r="J150" s="50">
        <v>25.0</v>
      </c>
      <c r="K150" s="50">
        <v>20.0</v>
      </c>
      <c r="L150" s="22">
        <f t="shared" ref="L150:N150" si="137">SUMPRODUCT(transpose(D$23:D$27),($G150:$K150)/100)</f>
        <v>87.27868966</v>
      </c>
      <c r="M150" s="22">
        <f t="shared" si="137"/>
        <v>80.22555223</v>
      </c>
      <c r="N150" s="22">
        <f t="shared" si="137"/>
        <v>4.58575689</v>
      </c>
      <c r="O150" s="51" t="str">
        <f t="shared" si="23"/>
        <v>EasyOCR</v>
      </c>
    </row>
    <row r="151">
      <c r="A151" s="47" t="s">
        <v>164</v>
      </c>
      <c r="B151" s="53">
        <v>6.0</v>
      </c>
      <c r="C151" s="53">
        <v>9.0</v>
      </c>
      <c r="D151" s="53">
        <v>8.0</v>
      </c>
      <c r="E151" s="53">
        <v>7.0</v>
      </c>
      <c r="F151" s="53">
        <v>10.0</v>
      </c>
      <c r="G151" s="23">
        <v>15.0</v>
      </c>
      <c r="H151" s="50">
        <v>22.5</v>
      </c>
      <c r="I151" s="50">
        <v>20.0</v>
      </c>
      <c r="J151" s="50">
        <v>17.5</v>
      </c>
      <c r="K151" s="50">
        <v>25.0</v>
      </c>
      <c r="L151" s="22">
        <f t="shared" ref="L151:N151" si="138">SUMPRODUCT(transpose(D$23:D$27),($G151:$K151)/100)</f>
        <v>106.9358621</v>
      </c>
      <c r="M151" s="22">
        <f t="shared" si="138"/>
        <v>99.41094878</v>
      </c>
      <c r="N151" s="22">
        <f t="shared" si="138"/>
        <v>4.969653331</v>
      </c>
      <c r="O151" s="51" t="str">
        <f t="shared" si="23"/>
        <v>EasyOCR</v>
      </c>
    </row>
    <row r="152">
      <c r="A152" s="47" t="s">
        <v>165</v>
      </c>
      <c r="B152" s="53">
        <v>6.0</v>
      </c>
      <c r="C152" s="53">
        <v>9.0</v>
      </c>
      <c r="D152" s="53">
        <v>8.0</v>
      </c>
      <c r="E152" s="53">
        <v>10.0</v>
      </c>
      <c r="F152" s="53">
        <v>7.0</v>
      </c>
      <c r="G152" s="23">
        <v>15.0</v>
      </c>
      <c r="H152" s="50">
        <v>22.5</v>
      </c>
      <c r="I152" s="50">
        <v>20.0</v>
      </c>
      <c r="J152" s="50">
        <v>25.0</v>
      </c>
      <c r="K152" s="50">
        <v>17.5</v>
      </c>
      <c r="L152" s="22">
        <f t="shared" ref="L152:N152" si="139">SUMPRODUCT(transpose(D$23:D$27),($G152:$K152)/100)</f>
        <v>77.45010345</v>
      </c>
      <c r="M152" s="22">
        <f t="shared" si="139"/>
        <v>70.63285395</v>
      </c>
      <c r="N152" s="22">
        <f t="shared" si="139"/>
        <v>4.468699957</v>
      </c>
      <c r="O152" s="51" t="str">
        <f t="shared" si="23"/>
        <v>EasyOCR</v>
      </c>
    </row>
    <row r="153">
      <c r="A153" s="47" t="s">
        <v>166</v>
      </c>
      <c r="B153" s="53">
        <v>6.0</v>
      </c>
      <c r="C153" s="53">
        <v>9.0</v>
      </c>
      <c r="D153" s="53">
        <v>10.0</v>
      </c>
      <c r="E153" s="53">
        <v>7.0</v>
      </c>
      <c r="F153" s="53">
        <v>8.0</v>
      </c>
      <c r="G153" s="23">
        <v>15.0</v>
      </c>
      <c r="H153" s="50">
        <v>22.5</v>
      </c>
      <c r="I153" s="50">
        <v>25.0</v>
      </c>
      <c r="J153" s="50">
        <v>17.5</v>
      </c>
      <c r="K153" s="50">
        <v>20.0</v>
      </c>
      <c r="L153" s="22">
        <f t="shared" ref="L153:N153" si="140">SUMPRODUCT(transpose(D$23:D$27),($G153:$K153)/100)</f>
        <v>87.27868966</v>
      </c>
      <c r="M153" s="22">
        <f t="shared" si="140"/>
        <v>80.22555223</v>
      </c>
      <c r="N153" s="22">
        <f t="shared" si="140"/>
        <v>4.735539465</v>
      </c>
      <c r="O153" s="51" t="str">
        <f t="shared" si="23"/>
        <v>EasyOCR</v>
      </c>
    </row>
    <row r="154">
      <c r="A154" s="47" t="s">
        <v>167</v>
      </c>
      <c r="B154" s="53">
        <v>6.0</v>
      </c>
      <c r="C154" s="53">
        <v>9.0</v>
      </c>
      <c r="D154" s="53">
        <v>10.0</v>
      </c>
      <c r="E154" s="53">
        <v>8.0</v>
      </c>
      <c r="F154" s="53">
        <v>7.0</v>
      </c>
      <c r="G154" s="23">
        <v>15.0</v>
      </c>
      <c r="H154" s="50">
        <v>22.5</v>
      </c>
      <c r="I154" s="50">
        <v>25.0</v>
      </c>
      <c r="J154" s="50">
        <v>20.0</v>
      </c>
      <c r="K154" s="50">
        <v>17.5</v>
      </c>
      <c r="L154" s="22">
        <f t="shared" ref="L154:N154" si="141">SUMPRODUCT(transpose(D$23:D$27),($G154:$K154)/100)</f>
        <v>77.45010345</v>
      </c>
      <c r="M154" s="22">
        <f t="shared" si="141"/>
        <v>70.63285395</v>
      </c>
      <c r="N154" s="22">
        <f t="shared" si="141"/>
        <v>4.568555007</v>
      </c>
      <c r="O154" s="51" t="str">
        <f t="shared" si="23"/>
        <v>EasyOCR</v>
      </c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16"/>
      <c r="C316" s="16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  <row r="1000">
      <c r="A1000" s="3"/>
      <c r="B1000" s="3"/>
      <c r="C1000" s="3"/>
      <c r="D1000" s="3"/>
      <c r="E1000" s="3"/>
      <c r="F1000" s="3"/>
      <c r="G1000" s="3"/>
    </row>
    <row r="1001">
      <c r="A1001" s="3"/>
      <c r="B1001" s="3"/>
      <c r="C1001" s="3"/>
      <c r="D1001" s="3"/>
      <c r="E1001" s="3"/>
      <c r="F1001" s="3"/>
      <c r="G1001" s="3"/>
    </row>
    <row r="1002">
      <c r="A1002" s="3"/>
      <c r="B1002" s="3"/>
      <c r="C1002" s="3"/>
      <c r="D1002" s="3"/>
      <c r="E1002" s="3"/>
      <c r="F1002" s="3"/>
      <c r="G1002" s="3"/>
    </row>
    <row r="1003">
      <c r="A1003" s="3"/>
      <c r="B1003" s="3"/>
      <c r="C1003" s="3"/>
      <c r="D1003" s="3"/>
      <c r="E1003" s="3"/>
      <c r="F1003" s="3"/>
      <c r="G1003" s="3"/>
    </row>
  </sheetData>
  <mergeCells count="19">
    <mergeCell ref="D21:F21"/>
    <mergeCell ref="L21:N21"/>
    <mergeCell ref="O21:Q21"/>
    <mergeCell ref="A2:A3"/>
    <mergeCell ref="B2:D2"/>
    <mergeCell ref="A11:A12"/>
    <mergeCell ref="B11:B12"/>
    <mergeCell ref="C11:D11"/>
    <mergeCell ref="A21:A22"/>
    <mergeCell ref="B21:C21"/>
    <mergeCell ref="G33:K33"/>
    <mergeCell ref="L33:N33"/>
    <mergeCell ref="A32:A33"/>
    <mergeCell ref="B32:F32"/>
    <mergeCell ref="G32:K32"/>
    <mergeCell ref="L32:N32"/>
    <mergeCell ref="P32:R33"/>
    <mergeCell ref="S32:U33"/>
    <mergeCell ref="B33:F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5.63"/>
  </cols>
  <sheetData>
    <row r="1">
      <c r="A1" s="1" t="s">
        <v>0</v>
      </c>
      <c r="B1" s="2"/>
      <c r="C1" s="2"/>
      <c r="D1" s="2"/>
      <c r="E1" s="3"/>
      <c r="F1" s="3"/>
      <c r="G1" s="3"/>
    </row>
    <row r="2">
      <c r="A2" s="4" t="s">
        <v>1</v>
      </c>
      <c r="B2" s="5" t="s">
        <v>2</v>
      </c>
      <c r="C2" s="6"/>
      <c r="D2" s="6"/>
      <c r="E2" s="7"/>
      <c r="F2" s="3"/>
      <c r="G2" s="3"/>
    </row>
    <row r="3">
      <c r="A3" s="8"/>
      <c r="B3" s="9" t="s">
        <v>4</v>
      </c>
      <c r="C3" s="9" t="s">
        <v>8</v>
      </c>
      <c r="D3" s="9" t="s">
        <v>11</v>
      </c>
      <c r="E3" s="10"/>
      <c r="F3" s="3"/>
      <c r="G3" s="3"/>
    </row>
    <row r="4">
      <c r="A4" s="11" t="s">
        <v>14</v>
      </c>
      <c r="B4" s="12">
        <v>10.0</v>
      </c>
      <c r="C4" s="12">
        <v>1.0</v>
      </c>
      <c r="D4" s="12">
        <v>9.68</v>
      </c>
      <c r="E4" s="13"/>
      <c r="F4" s="3"/>
      <c r="G4" s="3"/>
    </row>
    <row r="5">
      <c r="A5" s="11" t="s">
        <v>17</v>
      </c>
      <c r="B5" s="12">
        <v>5.45</v>
      </c>
      <c r="C5" s="12">
        <v>10.0</v>
      </c>
      <c r="D5" s="12">
        <v>1.0</v>
      </c>
      <c r="E5" s="13"/>
      <c r="F5" s="3"/>
      <c r="G5" s="3"/>
    </row>
    <row r="6">
      <c r="A6" s="11" t="s">
        <v>21</v>
      </c>
      <c r="B6" s="12">
        <v>8.65</v>
      </c>
      <c r="C6" s="12">
        <v>1.0</v>
      </c>
      <c r="D6" s="12">
        <v>10.0</v>
      </c>
      <c r="F6" s="3"/>
      <c r="G6" s="3"/>
    </row>
    <row r="7">
      <c r="A7" s="11" t="s">
        <v>23</v>
      </c>
      <c r="B7" s="12">
        <v>9.18</v>
      </c>
      <c r="C7" s="12">
        <v>1.0</v>
      </c>
      <c r="D7" s="12">
        <v>10.0</v>
      </c>
      <c r="F7" s="16"/>
      <c r="G7" s="3"/>
    </row>
    <row r="8">
      <c r="A8" s="11" t="s">
        <v>25</v>
      </c>
      <c r="B8" s="12">
        <v>1.0</v>
      </c>
      <c r="C8" s="12">
        <v>10.0</v>
      </c>
      <c r="D8" s="12">
        <v>4.13</v>
      </c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17" t="s">
        <v>28</v>
      </c>
      <c r="B10" s="18"/>
      <c r="C10" s="3"/>
      <c r="D10" s="3"/>
      <c r="E10" s="3"/>
      <c r="F10" s="3"/>
      <c r="G10" s="3"/>
    </row>
    <row r="11">
      <c r="A11" s="4" t="s">
        <v>1</v>
      </c>
      <c r="B11" s="4" t="s">
        <v>29</v>
      </c>
      <c r="C11" s="19" t="s">
        <v>30</v>
      </c>
      <c r="D11" s="20"/>
      <c r="E11" s="3"/>
      <c r="F11" s="3"/>
      <c r="G11" s="3"/>
    </row>
    <row r="12">
      <c r="A12" s="8"/>
      <c r="B12" s="8"/>
      <c r="C12" s="9" t="s">
        <v>31</v>
      </c>
      <c r="D12" s="9" t="s">
        <v>32</v>
      </c>
      <c r="E12" s="3"/>
      <c r="F12" s="3"/>
      <c r="G12" s="3"/>
    </row>
    <row r="13">
      <c r="A13" s="11" t="s">
        <v>13</v>
      </c>
      <c r="B13" s="21" t="s">
        <v>33</v>
      </c>
      <c r="C13" s="21">
        <v>9.0</v>
      </c>
      <c r="D13" s="22">
        <f t="shared" ref="D13:D17" si="1">(C13/$C$18)*100</f>
        <v>34.61538462</v>
      </c>
      <c r="E13" s="3"/>
      <c r="F13" s="3"/>
      <c r="G13" s="3"/>
    </row>
    <row r="14">
      <c r="A14" s="11" t="s">
        <v>16</v>
      </c>
      <c r="B14" s="21" t="s">
        <v>34</v>
      </c>
      <c r="C14" s="21">
        <v>7.0</v>
      </c>
      <c r="D14" s="22">
        <f t="shared" si="1"/>
        <v>26.92307692</v>
      </c>
      <c r="E14" s="3"/>
      <c r="F14" s="3"/>
      <c r="G14" s="3"/>
    </row>
    <row r="15">
      <c r="A15" s="11" t="s">
        <v>19</v>
      </c>
      <c r="B15" s="21" t="s">
        <v>34</v>
      </c>
      <c r="C15" s="21">
        <v>5.0</v>
      </c>
      <c r="D15" s="22">
        <f t="shared" si="1"/>
        <v>19.23076923</v>
      </c>
      <c r="E15" s="3"/>
      <c r="F15" s="3"/>
      <c r="G15" s="3"/>
    </row>
    <row r="16">
      <c r="A16" s="11" t="s">
        <v>22</v>
      </c>
      <c r="B16" s="21" t="s">
        <v>33</v>
      </c>
      <c r="C16" s="21">
        <v>3.0</v>
      </c>
      <c r="D16" s="22">
        <f t="shared" si="1"/>
        <v>11.53846154</v>
      </c>
      <c r="E16" s="3"/>
      <c r="F16" s="3"/>
      <c r="G16" s="3"/>
    </row>
    <row r="17">
      <c r="A17" s="11" t="str">
        <f>A8</f>
        <v>Deployability (Model Complexity)</v>
      </c>
      <c r="B17" s="21" t="s">
        <v>34</v>
      </c>
      <c r="C17" s="21">
        <v>2.0</v>
      </c>
      <c r="D17" s="22">
        <f t="shared" si="1"/>
        <v>7.692307692</v>
      </c>
      <c r="E17" s="3"/>
      <c r="F17" s="3"/>
      <c r="G17" s="3"/>
    </row>
    <row r="18">
      <c r="A18" s="21" t="s">
        <v>35</v>
      </c>
      <c r="B18" s="23"/>
      <c r="C18" s="22">
        <f t="shared" ref="C18:D18" si="2">sum(C13:C17)</f>
        <v>26</v>
      </c>
      <c r="D18" s="22">
        <f t="shared" si="2"/>
        <v>100</v>
      </c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24" t="s">
        <v>36</v>
      </c>
    </row>
    <row r="21">
      <c r="A21" s="25" t="s">
        <v>1</v>
      </c>
      <c r="B21" s="19" t="s">
        <v>30</v>
      </c>
      <c r="C21" s="20"/>
      <c r="D21" s="26" t="s">
        <v>2</v>
      </c>
      <c r="E21" s="6"/>
      <c r="F21" s="20"/>
      <c r="G21" s="27"/>
      <c r="L21" s="28"/>
      <c r="O21" s="29"/>
    </row>
    <row r="22">
      <c r="A22" s="8"/>
      <c r="B22" s="9" t="s">
        <v>31</v>
      </c>
      <c r="C22" s="9" t="s">
        <v>32</v>
      </c>
      <c r="D22" s="9" t="str">
        <f t="shared" ref="D22:F22" si="3">B3</f>
        <v>Faster R-CNN</v>
      </c>
      <c r="E22" s="9" t="str">
        <f t="shared" si="3"/>
        <v>SSD with MobileNet</v>
      </c>
      <c r="F22" s="9" t="str">
        <f t="shared" si="3"/>
        <v>DETR</v>
      </c>
      <c r="L22" s="30"/>
      <c r="M22" s="30"/>
      <c r="N22" s="30"/>
      <c r="O22" s="31"/>
      <c r="P22" s="31"/>
      <c r="Q22" s="31"/>
    </row>
    <row r="23">
      <c r="A23" s="32" t="str">
        <f t="shared" ref="A23:A27" si="6">A4</f>
        <v>Functionality (Detection Accuracy)</v>
      </c>
      <c r="B23" s="21">
        <f t="shared" ref="B23:C23" si="4">C13</f>
        <v>9</v>
      </c>
      <c r="C23" s="21">
        <f t="shared" si="4"/>
        <v>34.61538462</v>
      </c>
      <c r="D23" s="21">
        <f t="shared" ref="D23:F23" si="5">9*((max($B4:$D4)-B4)/(max($B4:$D4)-min($B4:$D4))) + 1</f>
        <v>1</v>
      </c>
      <c r="E23" s="21">
        <f t="shared" si="5"/>
        <v>10</v>
      </c>
      <c r="F23" s="21">
        <f t="shared" si="5"/>
        <v>1.32</v>
      </c>
      <c r="O23" s="31"/>
      <c r="P23" s="31"/>
      <c r="Q23" s="31"/>
    </row>
    <row r="24">
      <c r="A24" s="32" t="str">
        <f t="shared" si="6"/>
        <v>Usability (Transaction Speed)</v>
      </c>
      <c r="B24" s="21">
        <f t="shared" ref="B24:C24" si="7">C14</f>
        <v>7</v>
      </c>
      <c r="C24" s="21">
        <f t="shared" si="7"/>
        <v>26.92307692</v>
      </c>
      <c r="D24" s="21">
        <f t="shared" ref="D24:F24" si="8">9*((max($B5:$D5)-B5)/(max($B5:$D5)-min($B5:$D5))) + 1</f>
        <v>5.55</v>
      </c>
      <c r="E24" s="21">
        <f t="shared" si="8"/>
        <v>1</v>
      </c>
      <c r="F24" s="21">
        <f t="shared" si="8"/>
        <v>10</v>
      </c>
      <c r="O24" s="31"/>
      <c r="P24" s="31"/>
      <c r="Q24" s="31"/>
    </row>
    <row r="25">
      <c r="A25" s="32" t="str">
        <f t="shared" si="6"/>
        <v>Environmental Robustness (Lighting Sensitivity Rate)</v>
      </c>
      <c r="B25" s="21">
        <f t="shared" ref="B25:C25" si="9">C15</f>
        <v>5</v>
      </c>
      <c r="C25" s="21">
        <f t="shared" si="9"/>
        <v>19.23076923</v>
      </c>
      <c r="D25" s="21">
        <f t="shared" ref="D25:F25" si="10">9* ((B6 - min($B6:$D6))/(max($B6:$D6) - min($B6:$D6)))+ 1</f>
        <v>8.65</v>
      </c>
      <c r="E25" s="21">
        <f t="shared" si="10"/>
        <v>1</v>
      </c>
      <c r="F25" s="21">
        <f t="shared" si="10"/>
        <v>10</v>
      </c>
      <c r="O25" s="31"/>
      <c r="P25" s="31"/>
      <c r="Q25" s="31"/>
    </row>
    <row r="26">
      <c r="A26" s="32" t="str">
        <f t="shared" si="6"/>
        <v>Capability (Multi-Object Detection)</v>
      </c>
      <c r="B26" s="21">
        <f t="shared" ref="B26:C26" si="11">C16</f>
        <v>3</v>
      </c>
      <c r="C26" s="21">
        <f t="shared" si="11"/>
        <v>11.53846154</v>
      </c>
      <c r="D26" s="21">
        <f t="shared" ref="D26:F26" si="12">9* ((B7 - min($B7:$D7))/(max($B7:$D7) - min($B7:$D7)))+ 1</f>
        <v>9.18</v>
      </c>
      <c r="E26" s="21">
        <f t="shared" si="12"/>
        <v>1</v>
      </c>
      <c r="F26" s="21">
        <f t="shared" si="12"/>
        <v>10</v>
      </c>
      <c r="O26" s="31"/>
      <c r="P26" s="31"/>
      <c r="Q26" s="31"/>
    </row>
    <row r="27">
      <c r="A27" s="32" t="str">
        <f t="shared" si="6"/>
        <v>Deployability (Model Complexity)</v>
      </c>
      <c r="B27" s="21">
        <f t="shared" ref="B27:C27" si="13">C17</f>
        <v>2</v>
      </c>
      <c r="C27" s="21">
        <f t="shared" si="13"/>
        <v>7.692307692</v>
      </c>
      <c r="D27" s="21">
        <f t="shared" ref="D27:F27" si="14">9*((max($B8:$D8)-B8)/(max($B8:$D8)-min($B8:$D8))) + 1</f>
        <v>10</v>
      </c>
      <c r="E27" s="21">
        <f t="shared" si="14"/>
        <v>1</v>
      </c>
      <c r="F27" s="21">
        <f t="shared" si="14"/>
        <v>6.87</v>
      </c>
      <c r="O27" s="31"/>
      <c r="P27" s="31"/>
      <c r="Q27" s="31"/>
    </row>
    <row r="28">
      <c r="A28" s="21" t="s">
        <v>35</v>
      </c>
      <c r="B28" s="21">
        <f t="shared" ref="B28:C28" si="15">C18</f>
        <v>26</v>
      </c>
      <c r="C28" s="21">
        <f t="shared" si="15"/>
        <v>100</v>
      </c>
      <c r="D28" s="22">
        <f t="shared" ref="D28:F28" si="16">SUMPRODUCT(D23:D27,($C$23:$C$27)/100)</f>
        <v>5.332307692</v>
      </c>
      <c r="E28" s="22">
        <f t="shared" si="16"/>
        <v>4.115384615</v>
      </c>
      <c r="F28" s="22">
        <f t="shared" si="16"/>
        <v>6.754615385</v>
      </c>
      <c r="O28" s="31"/>
      <c r="P28" s="31"/>
      <c r="Q28" s="31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24" t="s">
        <v>37</v>
      </c>
    </row>
    <row r="32">
      <c r="A32" s="33"/>
      <c r="B32" s="34" t="s">
        <v>38</v>
      </c>
      <c r="C32" s="6"/>
      <c r="D32" s="6"/>
      <c r="E32" s="6"/>
      <c r="F32" s="6"/>
      <c r="G32" s="34"/>
      <c r="H32" s="6"/>
      <c r="I32" s="6"/>
      <c r="J32" s="6"/>
      <c r="K32" s="20"/>
      <c r="L32" s="26" t="s">
        <v>39</v>
      </c>
      <c r="M32" s="6"/>
      <c r="N32" s="6"/>
      <c r="O32" s="35"/>
      <c r="P32" s="36" t="s">
        <v>40</v>
      </c>
      <c r="Q32" s="37"/>
      <c r="R32" s="38"/>
      <c r="S32" s="39" t="s">
        <v>41</v>
      </c>
    </row>
    <row r="33">
      <c r="A33" s="40"/>
      <c r="B33" s="41" t="s">
        <v>31</v>
      </c>
      <c r="C33" s="6"/>
      <c r="D33" s="6"/>
      <c r="E33" s="6"/>
      <c r="F33" s="20"/>
      <c r="G33" s="26" t="s">
        <v>42</v>
      </c>
      <c r="H33" s="6"/>
      <c r="I33" s="6"/>
      <c r="J33" s="6"/>
      <c r="K33" s="20"/>
      <c r="L33" s="19" t="s">
        <v>43</v>
      </c>
      <c r="M33" s="6"/>
      <c r="N33" s="6"/>
      <c r="O33" s="9"/>
      <c r="P33" s="42"/>
      <c r="Q33" s="43"/>
      <c r="R33" s="40"/>
    </row>
    <row r="34">
      <c r="A34" s="44" t="s">
        <v>44</v>
      </c>
      <c r="B34" s="45" t="s">
        <v>45</v>
      </c>
      <c r="C34" s="45" t="s">
        <v>13</v>
      </c>
      <c r="D34" s="45" t="s">
        <v>16</v>
      </c>
      <c r="E34" s="46" t="s">
        <v>46</v>
      </c>
      <c r="F34" s="46" t="s">
        <v>22</v>
      </c>
      <c r="G34" s="45" t="s">
        <v>45</v>
      </c>
      <c r="H34" s="45" t="s">
        <v>13</v>
      </c>
      <c r="I34" s="45" t="s">
        <v>16</v>
      </c>
      <c r="J34" s="46" t="s">
        <v>46</v>
      </c>
      <c r="K34" s="46" t="s">
        <v>22</v>
      </c>
      <c r="L34" s="9" t="str">
        <f t="shared" ref="L34:N34" si="17">B3</f>
        <v>Faster R-CNN</v>
      </c>
      <c r="M34" s="9" t="str">
        <f t="shared" si="17"/>
        <v>SSD with MobileNet</v>
      </c>
      <c r="N34" s="9" t="str">
        <f t="shared" si="17"/>
        <v>DETR</v>
      </c>
      <c r="O34" s="9" t="s">
        <v>47</v>
      </c>
      <c r="P34" s="9" t="str">
        <f t="shared" ref="P34:U34" si="18">L34</f>
        <v>Faster R-CNN</v>
      </c>
      <c r="Q34" s="9" t="str">
        <f t="shared" si="18"/>
        <v>SSD with MobileNet</v>
      </c>
      <c r="R34" s="9" t="str">
        <f t="shared" si="18"/>
        <v>DETR</v>
      </c>
      <c r="S34" s="9" t="str">
        <f t="shared" si="18"/>
        <v>Winners</v>
      </c>
      <c r="T34" s="9" t="str">
        <f t="shared" si="18"/>
        <v>Faster R-CNN</v>
      </c>
      <c r="U34" s="9" t="str">
        <f t="shared" si="18"/>
        <v>SSD with MobileNet</v>
      </c>
    </row>
    <row r="35">
      <c r="A35" s="47" t="s">
        <v>48</v>
      </c>
      <c r="B35" s="48">
        <f>PERMUTE(C13:C17)
</f>
        <v>9</v>
      </c>
      <c r="C35" s="48">
        <v>7.0</v>
      </c>
      <c r="D35" s="48">
        <v>5.0</v>
      </c>
      <c r="E35" s="49">
        <v>3.0</v>
      </c>
      <c r="F35" s="49">
        <v>2.0</v>
      </c>
      <c r="G35" s="50">
        <f>PERMUTE(D13:D17)
</f>
        <v>34.61538462</v>
      </c>
      <c r="H35" s="50">
        <v>26.923076923076923</v>
      </c>
      <c r="I35" s="50">
        <v>19.230769230769234</v>
      </c>
      <c r="J35" s="50">
        <v>11.538461538461538</v>
      </c>
      <c r="K35" s="50">
        <v>7.6923076923076925</v>
      </c>
      <c r="L35" s="22">
        <f t="shared" ref="L35:N35" si="19">SUMPRODUCT(transpose(D$23:D$27),($G35:$K35)/100)</f>
        <v>5.332307692</v>
      </c>
      <c r="M35" s="22">
        <f t="shared" si="19"/>
        <v>4.115384615</v>
      </c>
      <c r="N35" s="22">
        <f t="shared" si="19"/>
        <v>6.754615385</v>
      </c>
      <c r="O35" s="3" t="str">
        <f t="shared" ref="O35:O154" si="23">INDEX($L$34:$N$34, MATCH(MAX(L35:N35), L35:N35, 0))
</f>
        <v>DETR</v>
      </c>
      <c r="P35" s="51">
        <f t="shared" ref="P35:R35" si="20">COUNTIF($O$35:$O$154,L34)</f>
        <v>14</v>
      </c>
      <c r="Q35" s="51">
        <f t="shared" si="20"/>
        <v>0</v>
      </c>
      <c r="R35" s="51">
        <f t="shared" si="20"/>
        <v>106</v>
      </c>
      <c r="S35" s="51">
        <f t="shared" ref="S35:U35" si="21">STDEVA(L35:L154)</f>
        <v>0.8164903261</v>
      </c>
      <c r="T35" s="51">
        <f t="shared" si="21"/>
        <v>0.8903037927</v>
      </c>
      <c r="U35" s="51">
        <f t="shared" si="21"/>
        <v>0.8367890925</v>
      </c>
    </row>
    <row r="36">
      <c r="A36" s="47" t="s">
        <v>49</v>
      </c>
      <c r="B36" s="48">
        <v>9.0</v>
      </c>
      <c r="C36" s="48">
        <v>7.0</v>
      </c>
      <c r="D36" s="48">
        <v>5.0</v>
      </c>
      <c r="E36" s="49">
        <v>2.0</v>
      </c>
      <c r="F36" s="49">
        <v>3.0</v>
      </c>
      <c r="G36" s="50">
        <v>34.61538461538461</v>
      </c>
      <c r="H36" s="50">
        <v>26.923076923076923</v>
      </c>
      <c r="I36" s="50">
        <v>19.230769230769234</v>
      </c>
      <c r="J36" s="50">
        <v>7.6923076923076925</v>
      </c>
      <c r="K36" s="50">
        <v>11.538461538461538</v>
      </c>
      <c r="L36" s="22">
        <f t="shared" ref="L36:N36" si="22">SUMPRODUCT(transpose(D$23:D$27),($G36:$K36)/100)</f>
        <v>5.363846154</v>
      </c>
      <c r="M36" s="22">
        <f t="shared" si="22"/>
        <v>4.115384615</v>
      </c>
      <c r="N36" s="22">
        <f t="shared" si="22"/>
        <v>6.634230769</v>
      </c>
      <c r="O36" s="51" t="str">
        <f t="shared" si="23"/>
        <v>DETR</v>
      </c>
    </row>
    <row r="37">
      <c r="A37" s="47" t="s">
        <v>50</v>
      </c>
      <c r="B37" s="48">
        <v>9.0</v>
      </c>
      <c r="C37" s="48">
        <v>7.0</v>
      </c>
      <c r="D37" s="48">
        <v>3.0</v>
      </c>
      <c r="E37" s="49">
        <v>5.0</v>
      </c>
      <c r="F37" s="49">
        <v>2.0</v>
      </c>
      <c r="G37" s="50">
        <v>34.61538461538461</v>
      </c>
      <c r="H37" s="50">
        <v>26.923076923076923</v>
      </c>
      <c r="I37" s="50">
        <v>11.538461538461538</v>
      </c>
      <c r="J37" s="50">
        <v>19.230769230769234</v>
      </c>
      <c r="K37" s="50">
        <v>7.6923076923076925</v>
      </c>
      <c r="L37" s="22">
        <f t="shared" ref="L37:N37" si="24">SUMPRODUCT(transpose(D$23:D$27),($G37:$K37)/100)</f>
        <v>5.373076923</v>
      </c>
      <c r="M37" s="22">
        <f t="shared" si="24"/>
        <v>4.115384615</v>
      </c>
      <c r="N37" s="22">
        <f t="shared" si="24"/>
        <v>6.754615385</v>
      </c>
      <c r="O37" s="51" t="str">
        <f t="shared" si="23"/>
        <v>DETR</v>
      </c>
    </row>
    <row r="38">
      <c r="A38" s="47" t="s">
        <v>51</v>
      </c>
      <c r="B38" s="48">
        <v>9.0</v>
      </c>
      <c r="C38" s="48">
        <v>7.0</v>
      </c>
      <c r="D38" s="48">
        <v>3.0</v>
      </c>
      <c r="E38" s="49">
        <v>2.0</v>
      </c>
      <c r="F38" s="49">
        <v>5.0</v>
      </c>
      <c r="G38" s="50">
        <v>34.61538461538461</v>
      </c>
      <c r="H38" s="50">
        <v>26.923076923076923</v>
      </c>
      <c r="I38" s="50">
        <v>11.538461538461538</v>
      </c>
      <c r="J38" s="50">
        <v>7.6923076923076925</v>
      </c>
      <c r="K38" s="50">
        <v>19.230769230769234</v>
      </c>
      <c r="L38" s="22">
        <f t="shared" ref="L38:N38" si="25">SUMPRODUCT(transpose(D$23:D$27),($G38:$K38)/100)</f>
        <v>5.467692308</v>
      </c>
      <c r="M38" s="22">
        <f t="shared" si="25"/>
        <v>4.115384615</v>
      </c>
      <c r="N38" s="22">
        <f t="shared" si="25"/>
        <v>6.393461538</v>
      </c>
      <c r="O38" s="51" t="str">
        <f t="shared" si="23"/>
        <v>DETR</v>
      </c>
    </row>
    <row r="39">
      <c r="A39" s="47" t="s">
        <v>52</v>
      </c>
      <c r="B39" s="48">
        <v>9.0</v>
      </c>
      <c r="C39" s="48">
        <v>7.0</v>
      </c>
      <c r="D39" s="48">
        <v>2.0</v>
      </c>
      <c r="E39" s="49">
        <v>5.0</v>
      </c>
      <c r="F39" s="49">
        <v>3.0</v>
      </c>
      <c r="G39" s="50">
        <v>34.61538461538461</v>
      </c>
      <c r="H39" s="50">
        <v>26.923076923076923</v>
      </c>
      <c r="I39" s="50">
        <v>7.6923076923076925</v>
      </c>
      <c r="J39" s="50">
        <v>19.230769230769234</v>
      </c>
      <c r="K39" s="50">
        <v>11.538461538461538</v>
      </c>
      <c r="L39" s="22">
        <f t="shared" ref="L39:N39" si="26">SUMPRODUCT(transpose(D$23:D$27),($G39:$K39)/100)</f>
        <v>5.425</v>
      </c>
      <c r="M39" s="22">
        <f t="shared" si="26"/>
        <v>4.115384615</v>
      </c>
      <c r="N39" s="22">
        <f t="shared" si="26"/>
        <v>6.634230769</v>
      </c>
      <c r="O39" s="52" t="str">
        <f t="shared" si="23"/>
        <v>DETR</v>
      </c>
    </row>
    <row r="40">
      <c r="A40" s="47" t="s">
        <v>53</v>
      </c>
      <c r="B40" s="48">
        <v>9.0</v>
      </c>
      <c r="C40" s="48">
        <v>7.0</v>
      </c>
      <c r="D40" s="48">
        <v>2.0</v>
      </c>
      <c r="E40" s="49">
        <v>3.0</v>
      </c>
      <c r="F40" s="49">
        <v>5.0</v>
      </c>
      <c r="G40" s="50">
        <v>34.61538461538461</v>
      </c>
      <c r="H40" s="50">
        <v>26.923076923076923</v>
      </c>
      <c r="I40" s="50">
        <v>7.6923076923076925</v>
      </c>
      <c r="J40" s="50">
        <v>11.538461538461538</v>
      </c>
      <c r="K40" s="50">
        <v>19.230769230769234</v>
      </c>
      <c r="L40" s="22">
        <f t="shared" ref="L40:N40" si="27">SUMPRODUCT(transpose(D$23:D$27),($G40:$K40)/100)</f>
        <v>5.488076923</v>
      </c>
      <c r="M40" s="22">
        <f t="shared" si="27"/>
        <v>4.115384615</v>
      </c>
      <c r="N40" s="22">
        <f t="shared" si="27"/>
        <v>6.393461538</v>
      </c>
      <c r="O40" s="51" t="str">
        <f t="shared" si="23"/>
        <v>DETR</v>
      </c>
    </row>
    <row r="41">
      <c r="A41" s="47" t="s">
        <v>54</v>
      </c>
      <c r="B41" s="48">
        <v>9.0</v>
      </c>
      <c r="C41" s="48">
        <v>5.0</v>
      </c>
      <c r="D41" s="48">
        <v>7.0</v>
      </c>
      <c r="E41" s="49">
        <v>3.0</v>
      </c>
      <c r="F41" s="49">
        <v>2.0</v>
      </c>
      <c r="G41" s="50">
        <v>34.61538461538461</v>
      </c>
      <c r="H41" s="50">
        <v>19.230769230769234</v>
      </c>
      <c r="I41" s="50">
        <v>26.923076923076923</v>
      </c>
      <c r="J41" s="50">
        <v>11.538461538461538</v>
      </c>
      <c r="K41" s="50">
        <v>7.6923076923076925</v>
      </c>
      <c r="L41" s="22">
        <f t="shared" ref="L41:N41" si="28">SUMPRODUCT(transpose(D$23:D$27),($G41:$K41)/100)</f>
        <v>5.570769231</v>
      </c>
      <c r="M41" s="22">
        <f t="shared" si="28"/>
        <v>4.115384615</v>
      </c>
      <c r="N41" s="22">
        <f t="shared" si="28"/>
        <v>6.754615385</v>
      </c>
      <c r="O41" s="51" t="str">
        <f t="shared" si="23"/>
        <v>DETR</v>
      </c>
    </row>
    <row r="42">
      <c r="A42" s="47" t="s">
        <v>55</v>
      </c>
      <c r="B42" s="48">
        <v>9.0</v>
      </c>
      <c r="C42" s="48">
        <v>5.0</v>
      </c>
      <c r="D42" s="48">
        <v>7.0</v>
      </c>
      <c r="E42" s="49">
        <v>2.0</v>
      </c>
      <c r="F42" s="49">
        <v>3.0</v>
      </c>
      <c r="G42" s="50">
        <v>34.61538461538461</v>
      </c>
      <c r="H42" s="50">
        <v>19.230769230769234</v>
      </c>
      <c r="I42" s="50">
        <v>26.923076923076923</v>
      </c>
      <c r="J42" s="50">
        <v>7.6923076923076925</v>
      </c>
      <c r="K42" s="50">
        <v>11.538461538461538</v>
      </c>
      <c r="L42" s="22">
        <f t="shared" ref="L42:N42" si="29">SUMPRODUCT(transpose(D$23:D$27),($G42:$K42)/100)</f>
        <v>5.602307692</v>
      </c>
      <c r="M42" s="22">
        <f t="shared" si="29"/>
        <v>4.115384615</v>
      </c>
      <c r="N42" s="22">
        <f t="shared" si="29"/>
        <v>6.634230769</v>
      </c>
      <c r="O42" s="51" t="str">
        <f t="shared" si="23"/>
        <v>DETR</v>
      </c>
    </row>
    <row r="43">
      <c r="A43" s="47" t="s">
        <v>56</v>
      </c>
      <c r="B43" s="48">
        <v>9.0</v>
      </c>
      <c r="C43" s="48">
        <v>5.0</v>
      </c>
      <c r="D43" s="48">
        <v>3.0</v>
      </c>
      <c r="E43" s="49">
        <v>7.0</v>
      </c>
      <c r="F43" s="49">
        <v>2.0</v>
      </c>
      <c r="G43" s="50">
        <v>34.61538461538461</v>
      </c>
      <c r="H43" s="50">
        <v>19.230769230769234</v>
      </c>
      <c r="I43" s="50">
        <v>11.538461538461538</v>
      </c>
      <c r="J43" s="50">
        <v>26.923076923076923</v>
      </c>
      <c r="K43" s="50">
        <v>7.6923076923076925</v>
      </c>
      <c r="L43" s="22">
        <f t="shared" ref="L43:N43" si="30">SUMPRODUCT(transpose(D$23:D$27),($G43:$K43)/100)</f>
        <v>5.652307692</v>
      </c>
      <c r="M43" s="22">
        <f t="shared" si="30"/>
        <v>4.115384615</v>
      </c>
      <c r="N43" s="22">
        <f t="shared" si="30"/>
        <v>6.754615385</v>
      </c>
      <c r="O43" s="51" t="str">
        <f t="shared" si="23"/>
        <v>DETR</v>
      </c>
    </row>
    <row r="44">
      <c r="A44" s="47" t="s">
        <v>57</v>
      </c>
      <c r="B44" s="48">
        <v>9.0</v>
      </c>
      <c r="C44" s="48">
        <v>5.0</v>
      </c>
      <c r="D44" s="48">
        <v>3.0</v>
      </c>
      <c r="E44" s="49">
        <v>2.0</v>
      </c>
      <c r="F44" s="49">
        <v>7.0</v>
      </c>
      <c r="G44" s="50">
        <v>34.61538461538461</v>
      </c>
      <c r="H44" s="50">
        <v>19.230769230769234</v>
      </c>
      <c r="I44" s="50">
        <v>11.538461538461538</v>
      </c>
      <c r="J44" s="50">
        <v>7.6923076923076925</v>
      </c>
      <c r="K44" s="50">
        <v>26.923076923076923</v>
      </c>
      <c r="L44" s="22">
        <f t="shared" ref="L44:N44" si="31">SUMPRODUCT(transpose(D$23:D$27),($G44:$K44)/100)</f>
        <v>5.81</v>
      </c>
      <c r="M44" s="22">
        <f t="shared" si="31"/>
        <v>4.115384615</v>
      </c>
      <c r="N44" s="22">
        <f t="shared" si="31"/>
        <v>6.152692308</v>
      </c>
      <c r="O44" s="51" t="str">
        <f t="shared" si="23"/>
        <v>DETR</v>
      </c>
    </row>
    <row r="45">
      <c r="A45" s="47" t="s">
        <v>58</v>
      </c>
      <c r="B45" s="48">
        <v>9.0</v>
      </c>
      <c r="C45" s="48">
        <v>5.0</v>
      </c>
      <c r="D45" s="48">
        <v>2.0</v>
      </c>
      <c r="E45" s="49">
        <v>7.0</v>
      </c>
      <c r="F45" s="49">
        <v>3.0</v>
      </c>
      <c r="G45" s="50">
        <v>34.61538461538461</v>
      </c>
      <c r="H45" s="50">
        <v>19.230769230769234</v>
      </c>
      <c r="I45" s="50">
        <v>7.6923076923076925</v>
      </c>
      <c r="J45" s="50">
        <v>26.923076923076923</v>
      </c>
      <c r="K45" s="50">
        <v>11.538461538461538</v>
      </c>
      <c r="L45" s="22">
        <f t="shared" ref="L45:N45" si="32">SUMPRODUCT(transpose(D$23:D$27),($G45:$K45)/100)</f>
        <v>5.704230769</v>
      </c>
      <c r="M45" s="22">
        <f t="shared" si="32"/>
        <v>4.115384615</v>
      </c>
      <c r="N45" s="22">
        <f t="shared" si="32"/>
        <v>6.634230769</v>
      </c>
      <c r="O45" s="51" t="str">
        <f t="shared" si="23"/>
        <v>DETR</v>
      </c>
    </row>
    <row r="46">
      <c r="A46" s="47" t="s">
        <v>59</v>
      </c>
      <c r="B46" s="48">
        <v>9.0</v>
      </c>
      <c r="C46" s="48">
        <v>5.0</v>
      </c>
      <c r="D46" s="48">
        <v>2.0</v>
      </c>
      <c r="E46" s="49">
        <v>3.0</v>
      </c>
      <c r="F46" s="49">
        <v>7.0</v>
      </c>
      <c r="G46" s="50">
        <v>34.61538461538461</v>
      </c>
      <c r="H46" s="50">
        <v>19.230769230769234</v>
      </c>
      <c r="I46" s="50">
        <v>7.6923076923076925</v>
      </c>
      <c r="J46" s="50">
        <v>11.538461538461538</v>
      </c>
      <c r="K46" s="50">
        <v>26.923076923076923</v>
      </c>
      <c r="L46" s="22">
        <f t="shared" ref="L46:N46" si="33">SUMPRODUCT(transpose(D$23:D$27),($G46:$K46)/100)</f>
        <v>5.830384615</v>
      </c>
      <c r="M46" s="22">
        <f t="shared" si="33"/>
        <v>4.115384615</v>
      </c>
      <c r="N46" s="22">
        <f t="shared" si="33"/>
        <v>6.152692308</v>
      </c>
      <c r="O46" s="51" t="str">
        <f t="shared" si="23"/>
        <v>DETR</v>
      </c>
    </row>
    <row r="47">
      <c r="A47" s="47" t="s">
        <v>60</v>
      </c>
      <c r="B47" s="48">
        <v>9.0</v>
      </c>
      <c r="C47" s="48">
        <v>3.0</v>
      </c>
      <c r="D47" s="48">
        <v>7.0</v>
      </c>
      <c r="E47" s="49">
        <v>5.0</v>
      </c>
      <c r="F47" s="49">
        <v>2.0</v>
      </c>
      <c r="G47" s="50">
        <v>34.61538461538461</v>
      </c>
      <c r="H47" s="50">
        <v>11.538461538461538</v>
      </c>
      <c r="I47" s="50">
        <v>26.923076923076923</v>
      </c>
      <c r="J47" s="50">
        <v>19.230769230769234</v>
      </c>
      <c r="K47" s="50">
        <v>7.6923076923076925</v>
      </c>
      <c r="L47" s="22">
        <f t="shared" ref="L47:N47" si="34">SUMPRODUCT(transpose(D$23:D$27),($G47:$K47)/100)</f>
        <v>5.85</v>
      </c>
      <c r="M47" s="22">
        <f t="shared" si="34"/>
        <v>4.115384615</v>
      </c>
      <c r="N47" s="22">
        <f t="shared" si="34"/>
        <v>6.754615385</v>
      </c>
      <c r="O47" s="51" t="str">
        <f t="shared" si="23"/>
        <v>DETR</v>
      </c>
    </row>
    <row r="48">
      <c r="A48" s="47" t="s">
        <v>61</v>
      </c>
      <c r="B48" s="48">
        <v>9.0</v>
      </c>
      <c r="C48" s="48">
        <v>3.0</v>
      </c>
      <c r="D48" s="48">
        <v>7.0</v>
      </c>
      <c r="E48" s="49">
        <v>2.0</v>
      </c>
      <c r="F48" s="49">
        <v>5.0</v>
      </c>
      <c r="G48" s="50">
        <v>34.61538461538461</v>
      </c>
      <c r="H48" s="50">
        <v>11.538461538461538</v>
      </c>
      <c r="I48" s="50">
        <v>26.923076923076923</v>
      </c>
      <c r="J48" s="50">
        <v>7.6923076923076925</v>
      </c>
      <c r="K48" s="50">
        <v>19.230769230769234</v>
      </c>
      <c r="L48" s="22">
        <f t="shared" ref="L48:N48" si="35">SUMPRODUCT(transpose(D$23:D$27),($G48:$K48)/100)</f>
        <v>5.944615385</v>
      </c>
      <c r="M48" s="22">
        <f t="shared" si="35"/>
        <v>4.115384615</v>
      </c>
      <c r="N48" s="22">
        <f t="shared" si="35"/>
        <v>6.393461538</v>
      </c>
      <c r="O48" s="51" t="str">
        <f t="shared" si="23"/>
        <v>DETR</v>
      </c>
    </row>
    <row r="49">
      <c r="A49" s="47" t="s">
        <v>62</v>
      </c>
      <c r="B49" s="48">
        <v>9.0</v>
      </c>
      <c r="C49" s="48">
        <v>3.0</v>
      </c>
      <c r="D49" s="48">
        <v>5.0</v>
      </c>
      <c r="E49" s="49">
        <v>7.0</v>
      </c>
      <c r="F49" s="49">
        <v>2.0</v>
      </c>
      <c r="G49" s="50">
        <v>34.61538461538461</v>
      </c>
      <c r="H49" s="50">
        <v>11.538461538461538</v>
      </c>
      <c r="I49" s="50">
        <v>19.230769230769234</v>
      </c>
      <c r="J49" s="50">
        <v>26.923076923076923</v>
      </c>
      <c r="K49" s="50">
        <v>7.6923076923076925</v>
      </c>
      <c r="L49" s="22">
        <f t="shared" ref="L49:N49" si="36">SUMPRODUCT(transpose(D$23:D$27),($G49:$K49)/100)</f>
        <v>5.890769231</v>
      </c>
      <c r="M49" s="22">
        <f t="shared" si="36"/>
        <v>4.115384615</v>
      </c>
      <c r="N49" s="22">
        <f t="shared" si="36"/>
        <v>6.754615385</v>
      </c>
      <c r="O49" s="51" t="str">
        <f t="shared" si="23"/>
        <v>DETR</v>
      </c>
    </row>
    <row r="50">
      <c r="A50" s="47" t="s">
        <v>63</v>
      </c>
      <c r="B50" s="48">
        <v>9.0</v>
      </c>
      <c r="C50" s="48">
        <v>3.0</v>
      </c>
      <c r="D50" s="48">
        <v>5.0</v>
      </c>
      <c r="E50" s="49">
        <v>2.0</v>
      </c>
      <c r="F50" s="49">
        <v>7.0</v>
      </c>
      <c r="G50" s="50">
        <v>34.61538461538461</v>
      </c>
      <c r="H50" s="50">
        <v>11.538461538461538</v>
      </c>
      <c r="I50" s="50">
        <v>19.230769230769234</v>
      </c>
      <c r="J50" s="50">
        <v>7.6923076923076925</v>
      </c>
      <c r="K50" s="50">
        <v>26.923076923076923</v>
      </c>
      <c r="L50" s="22">
        <f t="shared" ref="L50:N50" si="37">SUMPRODUCT(transpose(D$23:D$27),($G50:$K50)/100)</f>
        <v>6.048461538</v>
      </c>
      <c r="M50" s="22">
        <f t="shared" si="37"/>
        <v>4.115384615</v>
      </c>
      <c r="N50" s="22">
        <f t="shared" si="37"/>
        <v>6.152692308</v>
      </c>
      <c r="O50" s="51" t="str">
        <f t="shared" si="23"/>
        <v>DETR</v>
      </c>
    </row>
    <row r="51">
      <c r="A51" s="47" t="s">
        <v>64</v>
      </c>
      <c r="B51" s="48">
        <v>9.0</v>
      </c>
      <c r="C51" s="48">
        <v>3.0</v>
      </c>
      <c r="D51" s="48">
        <v>2.0</v>
      </c>
      <c r="E51" s="49">
        <v>7.0</v>
      </c>
      <c r="F51" s="49">
        <v>5.0</v>
      </c>
      <c r="G51" s="50">
        <v>34.61538461538461</v>
      </c>
      <c r="H51" s="50">
        <v>11.538461538461538</v>
      </c>
      <c r="I51" s="50">
        <v>7.6923076923076925</v>
      </c>
      <c r="J51" s="50">
        <v>26.923076923076923</v>
      </c>
      <c r="K51" s="50">
        <v>19.230769230769234</v>
      </c>
      <c r="L51" s="22">
        <f t="shared" ref="L51:N51" si="38">SUMPRODUCT(transpose(D$23:D$27),($G51:$K51)/100)</f>
        <v>6.046538462</v>
      </c>
      <c r="M51" s="22">
        <f t="shared" si="38"/>
        <v>4.115384615</v>
      </c>
      <c r="N51" s="22">
        <f t="shared" si="38"/>
        <v>6.393461538</v>
      </c>
      <c r="O51" s="51" t="str">
        <f t="shared" si="23"/>
        <v>DETR</v>
      </c>
    </row>
    <row r="52">
      <c r="A52" s="47" t="s">
        <v>65</v>
      </c>
      <c r="B52" s="48">
        <v>9.0</v>
      </c>
      <c r="C52" s="48">
        <v>3.0</v>
      </c>
      <c r="D52" s="48">
        <v>2.0</v>
      </c>
      <c r="E52" s="49">
        <v>5.0</v>
      </c>
      <c r="F52" s="49">
        <v>7.0</v>
      </c>
      <c r="G52" s="50">
        <v>34.61538461538461</v>
      </c>
      <c r="H52" s="50">
        <v>11.538461538461538</v>
      </c>
      <c r="I52" s="50">
        <v>7.6923076923076925</v>
      </c>
      <c r="J52" s="50">
        <v>19.230769230769234</v>
      </c>
      <c r="K52" s="50">
        <v>26.923076923076923</v>
      </c>
      <c r="L52" s="22">
        <f t="shared" ref="L52:N52" si="39">SUMPRODUCT(transpose(D$23:D$27),($G52:$K52)/100)</f>
        <v>6.109615385</v>
      </c>
      <c r="M52" s="22">
        <f t="shared" si="39"/>
        <v>4.115384615</v>
      </c>
      <c r="N52" s="22">
        <f t="shared" si="39"/>
        <v>6.152692308</v>
      </c>
      <c r="O52" s="51" t="str">
        <f t="shared" si="23"/>
        <v>DETR</v>
      </c>
    </row>
    <row r="53">
      <c r="A53" s="47" t="s">
        <v>66</v>
      </c>
      <c r="B53" s="48">
        <v>9.0</v>
      </c>
      <c r="C53" s="48">
        <v>2.0</v>
      </c>
      <c r="D53" s="48">
        <v>7.0</v>
      </c>
      <c r="E53" s="49">
        <v>5.0</v>
      </c>
      <c r="F53" s="49">
        <v>3.0</v>
      </c>
      <c r="G53" s="50">
        <v>34.61538461538461</v>
      </c>
      <c r="H53" s="50">
        <v>7.6923076923076925</v>
      </c>
      <c r="I53" s="50">
        <v>26.923076923076923</v>
      </c>
      <c r="J53" s="50">
        <v>19.230769230769234</v>
      </c>
      <c r="K53" s="50">
        <v>11.538461538461538</v>
      </c>
      <c r="L53" s="22">
        <f t="shared" ref="L53:N53" si="40">SUMPRODUCT(transpose(D$23:D$27),($G53:$K53)/100)</f>
        <v>6.021153846</v>
      </c>
      <c r="M53" s="22">
        <f t="shared" si="40"/>
        <v>4.115384615</v>
      </c>
      <c r="N53" s="22">
        <f t="shared" si="40"/>
        <v>6.634230769</v>
      </c>
      <c r="O53" s="51" t="str">
        <f t="shared" si="23"/>
        <v>DETR</v>
      </c>
    </row>
    <row r="54">
      <c r="A54" s="47" t="s">
        <v>67</v>
      </c>
      <c r="B54" s="48">
        <v>9.0</v>
      </c>
      <c r="C54" s="48">
        <v>2.0</v>
      </c>
      <c r="D54" s="48">
        <v>7.0</v>
      </c>
      <c r="E54" s="49">
        <v>3.0</v>
      </c>
      <c r="F54" s="49">
        <v>5.0</v>
      </c>
      <c r="G54" s="50">
        <v>34.61538461538461</v>
      </c>
      <c r="H54" s="50">
        <v>7.6923076923076925</v>
      </c>
      <c r="I54" s="50">
        <v>26.923076923076923</v>
      </c>
      <c r="J54" s="50">
        <v>11.538461538461538</v>
      </c>
      <c r="K54" s="50">
        <v>19.230769230769234</v>
      </c>
      <c r="L54" s="22">
        <f t="shared" ref="L54:N54" si="41">SUMPRODUCT(transpose(D$23:D$27),($G54:$K54)/100)</f>
        <v>6.084230769</v>
      </c>
      <c r="M54" s="22">
        <f t="shared" si="41"/>
        <v>4.115384615</v>
      </c>
      <c r="N54" s="22">
        <f t="shared" si="41"/>
        <v>6.393461538</v>
      </c>
      <c r="O54" s="51" t="str">
        <f t="shared" si="23"/>
        <v>DETR</v>
      </c>
    </row>
    <row r="55">
      <c r="A55" s="47" t="s">
        <v>68</v>
      </c>
      <c r="B55" s="48">
        <v>9.0</v>
      </c>
      <c r="C55" s="48">
        <v>2.0</v>
      </c>
      <c r="D55" s="48">
        <v>5.0</v>
      </c>
      <c r="E55" s="49">
        <v>7.0</v>
      </c>
      <c r="F55" s="49">
        <v>3.0</v>
      </c>
      <c r="G55" s="50">
        <v>34.61538461538461</v>
      </c>
      <c r="H55" s="50">
        <v>7.6923076923076925</v>
      </c>
      <c r="I55" s="50">
        <v>19.230769230769234</v>
      </c>
      <c r="J55" s="50">
        <v>26.923076923076923</v>
      </c>
      <c r="K55" s="50">
        <v>11.538461538461538</v>
      </c>
      <c r="L55" s="22">
        <f t="shared" ref="L55:N55" si="42">SUMPRODUCT(transpose(D$23:D$27),($G55:$K55)/100)</f>
        <v>6.061923077</v>
      </c>
      <c r="M55" s="22">
        <f t="shared" si="42"/>
        <v>4.115384615</v>
      </c>
      <c r="N55" s="22">
        <f t="shared" si="42"/>
        <v>6.634230769</v>
      </c>
      <c r="O55" s="51" t="str">
        <f t="shared" si="23"/>
        <v>DETR</v>
      </c>
    </row>
    <row r="56">
      <c r="A56" s="47" t="s">
        <v>69</v>
      </c>
      <c r="B56" s="48">
        <v>9.0</v>
      </c>
      <c r="C56" s="48">
        <v>2.0</v>
      </c>
      <c r="D56" s="48">
        <v>5.0</v>
      </c>
      <c r="E56" s="49">
        <v>3.0</v>
      </c>
      <c r="F56" s="49">
        <v>7.0</v>
      </c>
      <c r="G56" s="50">
        <v>34.61538461538461</v>
      </c>
      <c r="H56" s="50">
        <v>7.6923076923076925</v>
      </c>
      <c r="I56" s="50">
        <v>19.230769230769234</v>
      </c>
      <c r="J56" s="50">
        <v>11.538461538461538</v>
      </c>
      <c r="K56" s="50">
        <v>26.923076923076923</v>
      </c>
      <c r="L56" s="22">
        <f t="shared" ref="L56:N56" si="43">SUMPRODUCT(transpose(D$23:D$27),($G56:$K56)/100)</f>
        <v>6.188076923</v>
      </c>
      <c r="M56" s="22">
        <f t="shared" si="43"/>
        <v>4.115384615</v>
      </c>
      <c r="N56" s="22">
        <f t="shared" si="43"/>
        <v>6.152692308</v>
      </c>
      <c r="O56" s="51" t="str">
        <f t="shared" si="23"/>
        <v>Faster R-CNN</v>
      </c>
    </row>
    <row r="57">
      <c r="A57" s="47" t="s">
        <v>70</v>
      </c>
      <c r="B57" s="48">
        <v>9.0</v>
      </c>
      <c r="C57" s="48">
        <v>2.0</v>
      </c>
      <c r="D57" s="48">
        <v>3.0</v>
      </c>
      <c r="E57" s="49">
        <v>7.0</v>
      </c>
      <c r="F57" s="49">
        <v>5.0</v>
      </c>
      <c r="G57" s="50">
        <v>34.61538461538461</v>
      </c>
      <c r="H57" s="50">
        <v>7.6923076923076925</v>
      </c>
      <c r="I57" s="50">
        <v>11.538461538461538</v>
      </c>
      <c r="J57" s="50">
        <v>26.923076923076923</v>
      </c>
      <c r="K57" s="50">
        <v>19.230769230769234</v>
      </c>
      <c r="L57" s="22">
        <f t="shared" ref="L57:N57" si="44">SUMPRODUCT(transpose(D$23:D$27),($G57:$K57)/100)</f>
        <v>6.165769231</v>
      </c>
      <c r="M57" s="22">
        <f t="shared" si="44"/>
        <v>4.115384615</v>
      </c>
      <c r="N57" s="22">
        <f t="shared" si="44"/>
        <v>6.393461538</v>
      </c>
      <c r="O57" s="51" t="str">
        <f t="shared" si="23"/>
        <v>DETR</v>
      </c>
    </row>
    <row r="58">
      <c r="A58" s="47" t="s">
        <v>71</v>
      </c>
      <c r="B58" s="48">
        <v>9.0</v>
      </c>
      <c r="C58" s="48">
        <v>2.0</v>
      </c>
      <c r="D58" s="48">
        <v>3.0</v>
      </c>
      <c r="E58" s="49">
        <v>5.0</v>
      </c>
      <c r="F58" s="49">
        <v>7.0</v>
      </c>
      <c r="G58" s="50">
        <v>34.61538461538461</v>
      </c>
      <c r="H58" s="50">
        <v>7.6923076923076925</v>
      </c>
      <c r="I58" s="50">
        <v>11.538461538461538</v>
      </c>
      <c r="J58" s="50">
        <v>19.230769230769234</v>
      </c>
      <c r="K58" s="50">
        <v>26.923076923076923</v>
      </c>
      <c r="L58" s="22">
        <f t="shared" ref="L58:N58" si="45">SUMPRODUCT(transpose(D$23:D$27),($G58:$K58)/100)</f>
        <v>6.228846154</v>
      </c>
      <c r="M58" s="22">
        <f t="shared" si="45"/>
        <v>4.115384615</v>
      </c>
      <c r="N58" s="22">
        <f t="shared" si="45"/>
        <v>6.152692308</v>
      </c>
      <c r="O58" s="51" t="str">
        <f t="shared" si="23"/>
        <v>Faster R-CNN</v>
      </c>
    </row>
    <row r="59">
      <c r="A59" s="47" t="s">
        <v>72</v>
      </c>
      <c r="B59" s="48">
        <v>7.0</v>
      </c>
      <c r="C59" s="48">
        <v>9.0</v>
      </c>
      <c r="D59" s="48">
        <v>5.0</v>
      </c>
      <c r="E59" s="49">
        <v>3.0</v>
      </c>
      <c r="F59" s="49">
        <v>2.0</v>
      </c>
      <c r="G59" s="50">
        <v>26.923076923076923</v>
      </c>
      <c r="H59" s="50">
        <v>34.61538461538461</v>
      </c>
      <c r="I59" s="50">
        <v>19.230769230769234</v>
      </c>
      <c r="J59" s="50">
        <v>11.538461538461538</v>
      </c>
      <c r="K59" s="50">
        <v>7.6923076923076925</v>
      </c>
      <c r="L59" s="22">
        <f t="shared" ref="L59:N59" si="46">SUMPRODUCT(transpose(D$23:D$27),($G59:$K59)/100)</f>
        <v>5.682307692</v>
      </c>
      <c r="M59" s="22">
        <f t="shared" si="46"/>
        <v>3.423076923</v>
      </c>
      <c r="N59" s="22">
        <f t="shared" si="46"/>
        <v>7.422307692</v>
      </c>
      <c r="O59" s="51" t="str">
        <f t="shared" si="23"/>
        <v>DETR</v>
      </c>
    </row>
    <row r="60">
      <c r="A60" s="47" t="s">
        <v>73</v>
      </c>
      <c r="B60" s="53">
        <v>7.0</v>
      </c>
      <c r="C60" s="53">
        <v>9.0</v>
      </c>
      <c r="D60" s="53">
        <v>5.0</v>
      </c>
      <c r="E60" s="53">
        <v>2.0</v>
      </c>
      <c r="F60" s="53">
        <v>3.0</v>
      </c>
      <c r="G60" s="23">
        <v>26.923076923076923</v>
      </c>
      <c r="H60" s="50">
        <v>34.61538461538461</v>
      </c>
      <c r="I60" s="50">
        <v>19.230769230769234</v>
      </c>
      <c r="J60" s="50">
        <v>7.6923076923076925</v>
      </c>
      <c r="K60" s="50">
        <v>11.538461538461538</v>
      </c>
      <c r="L60" s="22">
        <f t="shared" ref="L60:N60" si="47">SUMPRODUCT(transpose(D$23:D$27),($G60:$K60)/100)</f>
        <v>5.713846154</v>
      </c>
      <c r="M60" s="22">
        <f t="shared" si="47"/>
        <v>3.423076923</v>
      </c>
      <c r="N60" s="22">
        <f t="shared" si="47"/>
        <v>7.301923077</v>
      </c>
      <c r="O60" s="51" t="str">
        <f t="shared" si="23"/>
        <v>DETR</v>
      </c>
    </row>
    <row r="61">
      <c r="A61" s="47" t="s">
        <v>74</v>
      </c>
      <c r="B61" s="53">
        <v>7.0</v>
      </c>
      <c r="C61" s="53">
        <v>9.0</v>
      </c>
      <c r="D61" s="53">
        <v>3.0</v>
      </c>
      <c r="E61" s="53">
        <v>5.0</v>
      </c>
      <c r="F61" s="53">
        <v>2.0</v>
      </c>
      <c r="G61" s="23">
        <v>26.923076923076923</v>
      </c>
      <c r="H61" s="50">
        <v>34.61538461538461</v>
      </c>
      <c r="I61" s="50">
        <v>11.538461538461538</v>
      </c>
      <c r="J61" s="50">
        <v>19.230769230769234</v>
      </c>
      <c r="K61" s="50">
        <v>7.6923076923076925</v>
      </c>
      <c r="L61" s="22">
        <f t="shared" ref="L61:N61" si="48">SUMPRODUCT(transpose(D$23:D$27),($G61:$K61)/100)</f>
        <v>5.723076923</v>
      </c>
      <c r="M61" s="22">
        <f t="shared" si="48"/>
        <v>3.423076923</v>
      </c>
      <c r="N61" s="22">
        <f t="shared" si="48"/>
        <v>7.422307692</v>
      </c>
      <c r="O61" s="51" t="str">
        <f t="shared" si="23"/>
        <v>DETR</v>
      </c>
    </row>
    <row r="62">
      <c r="A62" s="47" t="s">
        <v>75</v>
      </c>
      <c r="B62" s="53">
        <v>7.0</v>
      </c>
      <c r="C62" s="53">
        <v>9.0</v>
      </c>
      <c r="D62" s="53">
        <v>3.0</v>
      </c>
      <c r="E62" s="53">
        <v>2.0</v>
      </c>
      <c r="F62" s="53">
        <v>5.0</v>
      </c>
      <c r="G62" s="23">
        <v>26.923076923076923</v>
      </c>
      <c r="H62" s="50">
        <v>34.61538461538461</v>
      </c>
      <c r="I62" s="50">
        <v>11.538461538461538</v>
      </c>
      <c r="J62" s="50">
        <v>7.6923076923076925</v>
      </c>
      <c r="K62" s="50">
        <v>19.230769230769234</v>
      </c>
      <c r="L62" s="22">
        <f t="shared" ref="L62:N62" si="49">SUMPRODUCT(transpose(D$23:D$27),($G62:$K62)/100)</f>
        <v>5.817692308</v>
      </c>
      <c r="M62" s="22">
        <f t="shared" si="49"/>
        <v>3.423076923</v>
      </c>
      <c r="N62" s="22">
        <f t="shared" si="49"/>
        <v>7.061153846</v>
      </c>
      <c r="O62" s="51" t="str">
        <f t="shared" si="23"/>
        <v>DETR</v>
      </c>
    </row>
    <row r="63">
      <c r="A63" s="47" t="s">
        <v>76</v>
      </c>
      <c r="B63" s="53">
        <v>7.0</v>
      </c>
      <c r="C63" s="53">
        <v>9.0</v>
      </c>
      <c r="D63" s="53">
        <v>2.0</v>
      </c>
      <c r="E63" s="53">
        <v>5.0</v>
      </c>
      <c r="F63" s="53">
        <v>3.0</v>
      </c>
      <c r="G63" s="23">
        <v>26.923076923076923</v>
      </c>
      <c r="H63" s="50">
        <v>34.61538461538461</v>
      </c>
      <c r="I63" s="50">
        <v>7.6923076923076925</v>
      </c>
      <c r="J63" s="50">
        <v>19.230769230769234</v>
      </c>
      <c r="K63" s="50">
        <v>11.538461538461538</v>
      </c>
      <c r="L63" s="22">
        <f t="shared" ref="L63:N63" si="50">SUMPRODUCT(transpose(D$23:D$27),($G63:$K63)/100)</f>
        <v>5.775</v>
      </c>
      <c r="M63" s="22">
        <f t="shared" si="50"/>
        <v>3.423076923</v>
      </c>
      <c r="N63" s="22">
        <f t="shared" si="50"/>
        <v>7.301923077</v>
      </c>
      <c r="O63" s="51" t="str">
        <f t="shared" si="23"/>
        <v>DETR</v>
      </c>
    </row>
    <row r="64">
      <c r="A64" s="47" t="s">
        <v>77</v>
      </c>
      <c r="B64" s="53">
        <v>7.0</v>
      </c>
      <c r="C64" s="53">
        <v>9.0</v>
      </c>
      <c r="D64" s="53">
        <v>2.0</v>
      </c>
      <c r="E64" s="53">
        <v>3.0</v>
      </c>
      <c r="F64" s="53">
        <v>5.0</v>
      </c>
      <c r="G64" s="23">
        <v>26.923076923076923</v>
      </c>
      <c r="H64" s="50">
        <v>34.61538461538461</v>
      </c>
      <c r="I64" s="50">
        <v>7.6923076923076925</v>
      </c>
      <c r="J64" s="50">
        <v>11.538461538461538</v>
      </c>
      <c r="K64" s="50">
        <v>19.230769230769234</v>
      </c>
      <c r="L64" s="22">
        <f t="shared" ref="L64:N64" si="51">SUMPRODUCT(transpose(D$23:D$27),($G64:$K64)/100)</f>
        <v>5.838076923</v>
      </c>
      <c r="M64" s="22">
        <f t="shared" si="51"/>
        <v>3.423076923</v>
      </c>
      <c r="N64" s="22">
        <f t="shared" si="51"/>
        <v>7.061153846</v>
      </c>
      <c r="O64" s="51" t="str">
        <f t="shared" si="23"/>
        <v>DETR</v>
      </c>
    </row>
    <row r="65">
      <c r="A65" s="47" t="s">
        <v>78</v>
      </c>
      <c r="B65" s="53">
        <v>7.0</v>
      </c>
      <c r="C65" s="53">
        <v>5.0</v>
      </c>
      <c r="D65" s="53">
        <v>9.0</v>
      </c>
      <c r="E65" s="53">
        <v>3.0</v>
      </c>
      <c r="F65" s="53">
        <v>2.0</v>
      </c>
      <c r="G65" s="23">
        <v>26.923076923076923</v>
      </c>
      <c r="H65" s="50">
        <v>19.230769230769234</v>
      </c>
      <c r="I65" s="50">
        <v>34.61538461538461</v>
      </c>
      <c r="J65" s="50">
        <v>11.538461538461538</v>
      </c>
      <c r="K65" s="50">
        <v>7.6923076923076925</v>
      </c>
      <c r="L65" s="22">
        <f t="shared" ref="L65:N65" si="52">SUMPRODUCT(transpose(D$23:D$27),($G65:$K65)/100)</f>
        <v>6.159230769</v>
      </c>
      <c r="M65" s="22">
        <f t="shared" si="52"/>
        <v>3.423076923</v>
      </c>
      <c r="N65" s="22">
        <f t="shared" si="52"/>
        <v>7.422307692</v>
      </c>
      <c r="O65" s="51" t="str">
        <f t="shared" si="23"/>
        <v>DETR</v>
      </c>
    </row>
    <row r="66">
      <c r="A66" s="47" t="s">
        <v>79</v>
      </c>
      <c r="B66" s="53">
        <v>7.0</v>
      </c>
      <c r="C66" s="53">
        <v>5.0</v>
      </c>
      <c r="D66" s="53">
        <v>9.0</v>
      </c>
      <c r="E66" s="53">
        <v>2.0</v>
      </c>
      <c r="F66" s="53">
        <v>3.0</v>
      </c>
      <c r="G66" s="23">
        <v>26.923076923076923</v>
      </c>
      <c r="H66" s="50">
        <v>19.230769230769234</v>
      </c>
      <c r="I66" s="50">
        <v>34.61538461538461</v>
      </c>
      <c r="J66" s="50">
        <v>7.6923076923076925</v>
      </c>
      <c r="K66" s="50">
        <v>11.538461538461538</v>
      </c>
      <c r="L66" s="22">
        <f t="shared" ref="L66:N66" si="53">SUMPRODUCT(transpose(D$23:D$27),($G66:$K66)/100)</f>
        <v>6.190769231</v>
      </c>
      <c r="M66" s="22">
        <f t="shared" si="53"/>
        <v>3.423076923</v>
      </c>
      <c r="N66" s="22">
        <f t="shared" si="53"/>
        <v>7.301923077</v>
      </c>
      <c r="O66" s="51" t="str">
        <f t="shared" si="23"/>
        <v>DETR</v>
      </c>
    </row>
    <row r="67">
      <c r="A67" s="47" t="s">
        <v>80</v>
      </c>
      <c r="B67" s="53">
        <v>7.0</v>
      </c>
      <c r="C67" s="53">
        <v>5.0</v>
      </c>
      <c r="D67" s="53">
        <v>3.0</v>
      </c>
      <c r="E67" s="53">
        <v>9.0</v>
      </c>
      <c r="F67" s="53">
        <v>2.0</v>
      </c>
      <c r="G67" s="23">
        <v>26.923076923076923</v>
      </c>
      <c r="H67" s="50">
        <v>19.230769230769234</v>
      </c>
      <c r="I67" s="50">
        <v>11.538461538461538</v>
      </c>
      <c r="J67" s="50">
        <v>34.61538461538461</v>
      </c>
      <c r="K67" s="50">
        <v>7.6923076923076925</v>
      </c>
      <c r="L67" s="22">
        <f t="shared" ref="L67:N67" si="54">SUMPRODUCT(transpose(D$23:D$27),($G67:$K67)/100)</f>
        <v>6.281538462</v>
      </c>
      <c r="M67" s="22">
        <f t="shared" si="54"/>
        <v>3.423076923</v>
      </c>
      <c r="N67" s="22">
        <f t="shared" si="54"/>
        <v>7.422307692</v>
      </c>
      <c r="O67" s="51" t="str">
        <f t="shared" si="23"/>
        <v>DETR</v>
      </c>
    </row>
    <row r="68">
      <c r="A68" s="47" t="s">
        <v>81</v>
      </c>
      <c r="B68" s="53">
        <v>7.0</v>
      </c>
      <c r="C68" s="53">
        <v>5.0</v>
      </c>
      <c r="D68" s="53">
        <v>3.0</v>
      </c>
      <c r="E68" s="53">
        <v>2.0</v>
      </c>
      <c r="F68" s="53">
        <v>9.0</v>
      </c>
      <c r="G68" s="23">
        <v>26.923076923076923</v>
      </c>
      <c r="H68" s="50">
        <v>19.230769230769234</v>
      </c>
      <c r="I68" s="50">
        <v>11.538461538461538</v>
      </c>
      <c r="J68" s="50">
        <v>7.6923076923076925</v>
      </c>
      <c r="K68" s="50">
        <v>34.61538461538461</v>
      </c>
      <c r="L68" s="22">
        <f t="shared" ref="L68:N68" si="55">SUMPRODUCT(transpose(D$23:D$27),($G68:$K68)/100)</f>
        <v>6.502307692</v>
      </c>
      <c r="M68" s="22">
        <f t="shared" si="55"/>
        <v>3.423076923</v>
      </c>
      <c r="N68" s="22">
        <f t="shared" si="55"/>
        <v>6.579615385</v>
      </c>
      <c r="O68" s="51" t="str">
        <f t="shared" si="23"/>
        <v>DETR</v>
      </c>
    </row>
    <row r="69">
      <c r="A69" s="47" t="s">
        <v>82</v>
      </c>
      <c r="B69" s="53">
        <v>7.0</v>
      </c>
      <c r="C69" s="53">
        <v>5.0</v>
      </c>
      <c r="D69" s="53">
        <v>2.0</v>
      </c>
      <c r="E69" s="53">
        <v>9.0</v>
      </c>
      <c r="F69" s="53">
        <v>3.0</v>
      </c>
      <c r="G69" s="23">
        <v>26.923076923076923</v>
      </c>
      <c r="H69" s="50">
        <v>19.230769230769234</v>
      </c>
      <c r="I69" s="50">
        <v>7.6923076923076925</v>
      </c>
      <c r="J69" s="50">
        <v>34.61538461538461</v>
      </c>
      <c r="K69" s="50">
        <v>11.538461538461538</v>
      </c>
      <c r="L69" s="22">
        <f t="shared" ref="L69:N69" si="56">SUMPRODUCT(transpose(D$23:D$27),($G69:$K69)/100)</f>
        <v>6.333461538</v>
      </c>
      <c r="M69" s="22">
        <f t="shared" si="56"/>
        <v>3.423076923</v>
      </c>
      <c r="N69" s="22">
        <f t="shared" si="56"/>
        <v>7.301923077</v>
      </c>
      <c r="O69" s="51" t="str">
        <f t="shared" si="23"/>
        <v>DETR</v>
      </c>
    </row>
    <row r="70">
      <c r="A70" s="47" t="s">
        <v>83</v>
      </c>
      <c r="B70" s="53">
        <v>7.0</v>
      </c>
      <c r="C70" s="53">
        <v>5.0</v>
      </c>
      <c r="D70" s="53">
        <v>2.0</v>
      </c>
      <c r="E70" s="53">
        <v>3.0</v>
      </c>
      <c r="F70" s="53">
        <v>9.0</v>
      </c>
      <c r="G70" s="23">
        <v>26.923076923076923</v>
      </c>
      <c r="H70" s="50">
        <v>19.230769230769234</v>
      </c>
      <c r="I70" s="50">
        <v>7.6923076923076925</v>
      </c>
      <c r="J70" s="50">
        <v>11.538461538461538</v>
      </c>
      <c r="K70" s="50">
        <v>34.61538461538461</v>
      </c>
      <c r="L70" s="22">
        <f t="shared" ref="L70:N70" si="57">SUMPRODUCT(transpose(D$23:D$27),($G70:$K70)/100)</f>
        <v>6.522692308</v>
      </c>
      <c r="M70" s="22">
        <f t="shared" si="57"/>
        <v>3.423076923</v>
      </c>
      <c r="N70" s="22">
        <f t="shared" si="57"/>
        <v>6.579615385</v>
      </c>
      <c r="O70" s="51" t="str">
        <f t="shared" si="23"/>
        <v>DETR</v>
      </c>
    </row>
    <row r="71">
      <c r="A71" s="47" t="s">
        <v>84</v>
      </c>
      <c r="B71" s="53">
        <v>7.0</v>
      </c>
      <c r="C71" s="53">
        <v>3.0</v>
      </c>
      <c r="D71" s="53">
        <v>9.0</v>
      </c>
      <c r="E71" s="53">
        <v>5.0</v>
      </c>
      <c r="F71" s="53">
        <v>2.0</v>
      </c>
      <c r="G71" s="23">
        <v>26.923076923076923</v>
      </c>
      <c r="H71" s="50">
        <v>11.538461538461538</v>
      </c>
      <c r="I71" s="50">
        <v>34.61538461538461</v>
      </c>
      <c r="J71" s="50">
        <v>19.230769230769234</v>
      </c>
      <c r="K71" s="50">
        <v>7.6923076923076925</v>
      </c>
      <c r="L71" s="22">
        <f t="shared" ref="L71:N71" si="58">SUMPRODUCT(transpose(D$23:D$27),($G71:$K71)/100)</f>
        <v>6.438461538</v>
      </c>
      <c r="M71" s="22">
        <f t="shared" si="58"/>
        <v>3.423076923</v>
      </c>
      <c r="N71" s="22">
        <f t="shared" si="58"/>
        <v>7.422307692</v>
      </c>
      <c r="O71" s="51" t="str">
        <f t="shared" si="23"/>
        <v>DETR</v>
      </c>
    </row>
    <row r="72">
      <c r="A72" s="47" t="s">
        <v>85</v>
      </c>
      <c r="B72" s="53">
        <v>7.0</v>
      </c>
      <c r="C72" s="53">
        <v>3.0</v>
      </c>
      <c r="D72" s="53">
        <v>9.0</v>
      </c>
      <c r="E72" s="53">
        <v>2.0</v>
      </c>
      <c r="F72" s="53">
        <v>5.0</v>
      </c>
      <c r="G72" s="23">
        <v>26.923076923076923</v>
      </c>
      <c r="H72" s="50">
        <v>11.538461538461538</v>
      </c>
      <c r="I72" s="50">
        <v>34.61538461538461</v>
      </c>
      <c r="J72" s="50">
        <v>7.6923076923076925</v>
      </c>
      <c r="K72" s="50">
        <v>19.230769230769234</v>
      </c>
      <c r="L72" s="22">
        <f t="shared" ref="L72:N72" si="59">SUMPRODUCT(transpose(D$23:D$27),($G72:$K72)/100)</f>
        <v>6.533076923</v>
      </c>
      <c r="M72" s="22">
        <f t="shared" si="59"/>
        <v>3.423076923</v>
      </c>
      <c r="N72" s="22">
        <f t="shared" si="59"/>
        <v>7.061153846</v>
      </c>
      <c r="O72" s="51" t="str">
        <f t="shared" si="23"/>
        <v>DETR</v>
      </c>
    </row>
    <row r="73">
      <c r="A73" s="47" t="s">
        <v>86</v>
      </c>
      <c r="B73" s="53">
        <v>7.0</v>
      </c>
      <c r="C73" s="53">
        <v>3.0</v>
      </c>
      <c r="D73" s="53">
        <v>5.0</v>
      </c>
      <c r="E73" s="53">
        <v>9.0</v>
      </c>
      <c r="F73" s="53">
        <v>2.0</v>
      </c>
      <c r="G73" s="23">
        <v>26.923076923076923</v>
      </c>
      <c r="H73" s="50">
        <v>11.538461538461538</v>
      </c>
      <c r="I73" s="50">
        <v>19.230769230769234</v>
      </c>
      <c r="J73" s="50">
        <v>34.61538461538461</v>
      </c>
      <c r="K73" s="50">
        <v>7.6923076923076925</v>
      </c>
      <c r="L73" s="22">
        <f t="shared" ref="L73:N73" si="60">SUMPRODUCT(transpose(D$23:D$27),($G73:$K73)/100)</f>
        <v>6.52</v>
      </c>
      <c r="M73" s="22">
        <f t="shared" si="60"/>
        <v>3.423076923</v>
      </c>
      <c r="N73" s="22">
        <f t="shared" si="60"/>
        <v>7.422307692</v>
      </c>
      <c r="O73" s="51" t="str">
        <f t="shared" si="23"/>
        <v>DETR</v>
      </c>
    </row>
    <row r="74">
      <c r="A74" s="47" t="s">
        <v>87</v>
      </c>
      <c r="B74" s="53">
        <v>7.0</v>
      </c>
      <c r="C74" s="53">
        <v>3.0</v>
      </c>
      <c r="D74" s="53">
        <v>5.0</v>
      </c>
      <c r="E74" s="53">
        <v>2.0</v>
      </c>
      <c r="F74" s="53">
        <v>9.0</v>
      </c>
      <c r="G74" s="23">
        <v>26.923076923076923</v>
      </c>
      <c r="H74" s="50">
        <v>11.538461538461538</v>
      </c>
      <c r="I74" s="50">
        <v>19.230769230769234</v>
      </c>
      <c r="J74" s="50">
        <v>7.6923076923076925</v>
      </c>
      <c r="K74" s="50">
        <v>34.61538461538461</v>
      </c>
      <c r="L74" s="22">
        <f t="shared" ref="L74:N74" si="61">SUMPRODUCT(transpose(D$23:D$27),($G74:$K74)/100)</f>
        <v>6.740769231</v>
      </c>
      <c r="M74" s="22">
        <f t="shared" si="61"/>
        <v>3.423076923</v>
      </c>
      <c r="N74" s="22">
        <f t="shared" si="61"/>
        <v>6.579615385</v>
      </c>
      <c r="O74" s="51" t="str">
        <f t="shared" si="23"/>
        <v>Faster R-CNN</v>
      </c>
    </row>
    <row r="75">
      <c r="A75" s="47" t="s">
        <v>88</v>
      </c>
      <c r="B75" s="53">
        <v>7.0</v>
      </c>
      <c r="C75" s="53">
        <v>3.0</v>
      </c>
      <c r="D75" s="53">
        <v>2.0</v>
      </c>
      <c r="E75" s="53">
        <v>9.0</v>
      </c>
      <c r="F75" s="53">
        <v>5.0</v>
      </c>
      <c r="G75" s="23">
        <v>26.923076923076923</v>
      </c>
      <c r="H75" s="50">
        <v>11.538461538461538</v>
      </c>
      <c r="I75" s="50">
        <v>7.6923076923076925</v>
      </c>
      <c r="J75" s="50">
        <v>34.61538461538461</v>
      </c>
      <c r="K75" s="50">
        <v>19.230769230769234</v>
      </c>
      <c r="L75" s="22">
        <f t="shared" ref="L75:N75" si="62">SUMPRODUCT(transpose(D$23:D$27),($G75:$K75)/100)</f>
        <v>6.675769231</v>
      </c>
      <c r="M75" s="22">
        <f t="shared" si="62"/>
        <v>3.423076923</v>
      </c>
      <c r="N75" s="22">
        <f t="shared" si="62"/>
        <v>7.061153846</v>
      </c>
      <c r="O75" s="51" t="str">
        <f t="shared" si="23"/>
        <v>DETR</v>
      </c>
    </row>
    <row r="76">
      <c r="A76" s="47" t="s">
        <v>89</v>
      </c>
      <c r="B76" s="53">
        <v>7.0</v>
      </c>
      <c r="C76" s="53">
        <v>3.0</v>
      </c>
      <c r="D76" s="53">
        <v>2.0</v>
      </c>
      <c r="E76" s="53">
        <v>5.0</v>
      </c>
      <c r="F76" s="53">
        <v>9.0</v>
      </c>
      <c r="G76" s="23">
        <v>26.923076923076923</v>
      </c>
      <c r="H76" s="50">
        <v>11.538461538461538</v>
      </c>
      <c r="I76" s="50">
        <v>7.6923076923076925</v>
      </c>
      <c r="J76" s="50">
        <v>19.230769230769234</v>
      </c>
      <c r="K76" s="50">
        <v>34.61538461538461</v>
      </c>
      <c r="L76" s="22">
        <f t="shared" ref="L76:N76" si="63">SUMPRODUCT(transpose(D$23:D$27),($G76:$K76)/100)</f>
        <v>6.801923077</v>
      </c>
      <c r="M76" s="22">
        <f t="shared" si="63"/>
        <v>3.423076923</v>
      </c>
      <c r="N76" s="22">
        <f t="shared" si="63"/>
        <v>6.579615385</v>
      </c>
      <c r="O76" s="51" t="str">
        <f t="shared" si="23"/>
        <v>Faster R-CNN</v>
      </c>
    </row>
    <row r="77">
      <c r="A77" s="47" t="s">
        <v>90</v>
      </c>
      <c r="B77" s="53">
        <v>7.0</v>
      </c>
      <c r="C77" s="53">
        <v>2.0</v>
      </c>
      <c r="D77" s="53">
        <v>9.0</v>
      </c>
      <c r="E77" s="53">
        <v>5.0</v>
      </c>
      <c r="F77" s="53">
        <v>3.0</v>
      </c>
      <c r="G77" s="23">
        <v>26.923076923076923</v>
      </c>
      <c r="H77" s="50">
        <v>7.6923076923076925</v>
      </c>
      <c r="I77" s="50">
        <v>34.61538461538461</v>
      </c>
      <c r="J77" s="50">
        <v>19.230769230769234</v>
      </c>
      <c r="K77" s="50">
        <v>11.538461538461538</v>
      </c>
      <c r="L77" s="22">
        <f t="shared" ref="L77:N77" si="64">SUMPRODUCT(transpose(D$23:D$27),($G77:$K77)/100)</f>
        <v>6.609615385</v>
      </c>
      <c r="M77" s="22">
        <f t="shared" si="64"/>
        <v>3.423076923</v>
      </c>
      <c r="N77" s="22">
        <f t="shared" si="64"/>
        <v>7.301923077</v>
      </c>
      <c r="O77" s="51" t="str">
        <f t="shared" si="23"/>
        <v>DETR</v>
      </c>
    </row>
    <row r="78">
      <c r="A78" s="47" t="s">
        <v>91</v>
      </c>
      <c r="B78" s="53">
        <v>7.0</v>
      </c>
      <c r="C78" s="53">
        <v>2.0</v>
      </c>
      <c r="D78" s="53">
        <v>9.0</v>
      </c>
      <c r="E78" s="53">
        <v>3.0</v>
      </c>
      <c r="F78" s="53">
        <v>5.0</v>
      </c>
      <c r="G78" s="23">
        <v>26.923076923076923</v>
      </c>
      <c r="H78" s="50">
        <v>7.6923076923076925</v>
      </c>
      <c r="I78" s="50">
        <v>34.61538461538461</v>
      </c>
      <c r="J78" s="50">
        <v>11.538461538461538</v>
      </c>
      <c r="K78" s="50">
        <v>19.230769230769234</v>
      </c>
      <c r="L78" s="22">
        <f t="shared" ref="L78:N78" si="65">SUMPRODUCT(transpose(D$23:D$27),($G78:$K78)/100)</f>
        <v>6.672692308</v>
      </c>
      <c r="M78" s="22">
        <f t="shared" si="65"/>
        <v>3.423076923</v>
      </c>
      <c r="N78" s="22">
        <f t="shared" si="65"/>
        <v>7.061153846</v>
      </c>
      <c r="O78" s="51" t="str">
        <f t="shared" si="23"/>
        <v>DETR</v>
      </c>
    </row>
    <row r="79">
      <c r="A79" s="47" t="s">
        <v>92</v>
      </c>
      <c r="B79" s="53">
        <v>7.0</v>
      </c>
      <c r="C79" s="53">
        <v>2.0</v>
      </c>
      <c r="D79" s="53">
        <v>5.0</v>
      </c>
      <c r="E79" s="53">
        <v>9.0</v>
      </c>
      <c r="F79" s="53">
        <v>3.0</v>
      </c>
      <c r="G79" s="23">
        <v>26.923076923076923</v>
      </c>
      <c r="H79" s="50">
        <v>7.6923076923076925</v>
      </c>
      <c r="I79" s="50">
        <v>19.230769230769234</v>
      </c>
      <c r="J79" s="50">
        <v>34.61538461538461</v>
      </c>
      <c r="K79" s="50">
        <v>11.538461538461538</v>
      </c>
      <c r="L79" s="22">
        <f t="shared" ref="L79:N79" si="66">SUMPRODUCT(transpose(D$23:D$27),($G79:$K79)/100)</f>
        <v>6.691153846</v>
      </c>
      <c r="M79" s="22">
        <f t="shared" si="66"/>
        <v>3.423076923</v>
      </c>
      <c r="N79" s="22">
        <f t="shared" si="66"/>
        <v>7.301923077</v>
      </c>
      <c r="O79" s="51" t="str">
        <f t="shared" si="23"/>
        <v>DETR</v>
      </c>
    </row>
    <row r="80">
      <c r="A80" s="47" t="s">
        <v>93</v>
      </c>
      <c r="B80" s="53">
        <v>7.0</v>
      </c>
      <c r="C80" s="53">
        <v>2.0</v>
      </c>
      <c r="D80" s="53">
        <v>5.0</v>
      </c>
      <c r="E80" s="53">
        <v>3.0</v>
      </c>
      <c r="F80" s="53">
        <v>9.0</v>
      </c>
      <c r="G80" s="23">
        <v>26.923076923076923</v>
      </c>
      <c r="H80" s="50">
        <v>7.6923076923076925</v>
      </c>
      <c r="I80" s="50">
        <v>19.230769230769234</v>
      </c>
      <c r="J80" s="50">
        <v>11.538461538461538</v>
      </c>
      <c r="K80" s="50">
        <v>34.61538461538461</v>
      </c>
      <c r="L80" s="22">
        <f t="shared" ref="L80:N80" si="67">SUMPRODUCT(transpose(D$23:D$27),($G80:$K80)/100)</f>
        <v>6.880384615</v>
      </c>
      <c r="M80" s="22">
        <f t="shared" si="67"/>
        <v>3.423076923</v>
      </c>
      <c r="N80" s="22">
        <f t="shared" si="67"/>
        <v>6.579615385</v>
      </c>
      <c r="O80" s="51" t="str">
        <f t="shared" si="23"/>
        <v>Faster R-CNN</v>
      </c>
    </row>
    <row r="81">
      <c r="A81" s="47" t="s">
        <v>94</v>
      </c>
      <c r="B81" s="53">
        <v>7.0</v>
      </c>
      <c r="C81" s="53">
        <v>2.0</v>
      </c>
      <c r="D81" s="53">
        <v>3.0</v>
      </c>
      <c r="E81" s="53">
        <v>9.0</v>
      </c>
      <c r="F81" s="53">
        <v>5.0</v>
      </c>
      <c r="G81" s="23">
        <v>26.923076923076923</v>
      </c>
      <c r="H81" s="50">
        <v>7.6923076923076925</v>
      </c>
      <c r="I81" s="50">
        <v>11.538461538461538</v>
      </c>
      <c r="J81" s="50">
        <v>34.61538461538461</v>
      </c>
      <c r="K81" s="50">
        <v>19.230769230769234</v>
      </c>
      <c r="L81" s="22">
        <f t="shared" ref="L81:N81" si="68">SUMPRODUCT(transpose(D$23:D$27),($G81:$K81)/100)</f>
        <v>6.795</v>
      </c>
      <c r="M81" s="22">
        <f t="shared" si="68"/>
        <v>3.423076923</v>
      </c>
      <c r="N81" s="22">
        <f t="shared" si="68"/>
        <v>7.061153846</v>
      </c>
      <c r="O81" s="51" t="str">
        <f t="shared" si="23"/>
        <v>DETR</v>
      </c>
    </row>
    <row r="82">
      <c r="A82" s="47" t="s">
        <v>95</v>
      </c>
      <c r="B82" s="53">
        <v>7.0</v>
      </c>
      <c r="C82" s="53">
        <v>2.0</v>
      </c>
      <c r="D82" s="53">
        <v>3.0</v>
      </c>
      <c r="E82" s="53">
        <v>5.0</v>
      </c>
      <c r="F82" s="53">
        <v>9.0</v>
      </c>
      <c r="G82" s="23">
        <v>26.923076923076923</v>
      </c>
      <c r="H82" s="50">
        <v>7.6923076923076925</v>
      </c>
      <c r="I82" s="50">
        <v>11.538461538461538</v>
      </c>
      <c r="J82" s="50">
        <v>19.230769230769234</v>
      </c>
      <c r="K82" s="50">
        <v>34.61538461538461</v>
      </c>
      <c r="L82" s="22">
        <f t="shared" ref="L82:N82" si="69">SUMPRODUCT(transpose(D$23:D$27),($G82:$K82)/100)</f>
        <v>6.921153846</v>
      </c>
      <c r="M82" s="22">
        <f t="shared" si="69"/>
        <v>3.423076923</v>
      </c>
      <c r="N82" s="22">
        <f t="shared" si="69"/>
        <v>6.579615385</v>
      </c>
      <c r="O82" s="51" t="str">
        <f t="shared" si="23"/>
        <v>Faster R-CNN</v>
      </c>
    </row>
    <row r="83">
      <c r="A83" s="47" t="s">
        <v>96</v>
      </c>
      <c r="B83" s="53">
        <v>5.0</v>
      </c>
      <c r="C83" s="53">
        <v>9.0</v>
      </c>
      <c r="D83" s="53">
        <v>7.0</v>
      </c>
      <c r="E83" s="53">
        <v>3.0</v>
      </c>
      <c r="F83" s="53">
        <v>2.0</v>
      </c>
      <c r="G83" s="23">
        <v>19.230769230769234</v>
      </c>
      <c r="H83" s="50">
        <v>34.61538461538461</v>
      </c>
      <c r="I83" s="50">
        <v>26.923076923076923</v>
      </c>
      <c r="J83" s="50">
        <v>11.538461538461538</v>
      </c>
      <c r="K83" s="50">
        <v>7.6923076923076925</v>
      </c>
      <c r="L83" s="22">
        <f t="shared" ref="L83:N83" si="70">SUMPRODUCT(transpose(D$23:D$27),($G83:$K83)/100)</f>
        <v>6.270769231</v>
      </c>
      <c r="M83" s="22">
        <f t="shared" si="70"/>
        <v>2.730769231</v>
      </c>
      <c r="N83" s="22">
        <f t="shared" si="70"/>
        <v>8.09</v>
      </c>
      <c r="O83" s="51" t="str">
        <f t="shared" si="23"/>
        <v>DETR</v>
      </c>
    </row>
    <row r="84">
      <c r="A84" s="47" t="s">
        <v>97</v>
      </c>
      <c r="B84" s="53">
        <v>5.0</v>
      </c>
      <c r="C84" s="53">
        <v>9.0</v>
      </c>
      <c r="D84" s="53">
        <v>7.0</v>
      </c>
      <c r="E84" s="53">
        <v>2.0</v>
      </c>
      <c r="F84" s="53">
        <v>3.0</v>
      </c>
      <c r="G84" s="23">
        <v>19.230769230769234</v>
      </c>
      <c r="H84" s="50">
        <v>34.61538461538461</v>
      </c>
      <c r="I84" s="50">
        <v>26.923076923076923</v>
      </c>
      <c r="J84" s="50">
        <v>7.6923076923076925</v>
      </c>
      <c r="K84" s="50">
        <v>11.538461538461538</v>
      </c>
      <c r="L84" s="22">
        <f t="shared" ref="L84:N84" si="71">SUMPRODUCT(transpose(D$23:D$27),($G84:$K84)/100)</f>
        <v>6.302307692</v>
      </c>
      <c r="M84" s="22">
        <f t="shared" si="71"/>
        <v>2.730769231</v>
      </c>
      <c r="N84" s="22">
        <f t="shared" si="71"/>
        <v>7.969615385</v>
      </c>
      <c r="O84" s="51" t="str">
        <f t="shared" si="23"/>
        <v>DETR</v>
      </c>
    </row>
    <row r="85">
      <c r="A85" s="47" t="s">
        <v>98</v>
      </c>
      <c r="B85" s="53">
        <v>5.0</v>
      </c>
      <c r="C85" s="53">
        <v>9.0</v>
      </c>
      <c r="D85" s="53">
        <v>3.0</v>
      </c>
      <c r="E85" s="53">
        <v>7.0</v>
      </c>
      <c r="F85" s="53">
        <v>2.0</v>
      </c>
      <c r="G85" s="23">
        <v>19.230769230769234</v>
      </c>
      <c r="H85" s="50">
        <v>34.61538461538461</v>
      </c>
      <c r="I85" s="50">
        <v>11.538461538461538</v>
      </c>
      <c r="J85" s="50">
        <v>26.923076923076923</v>
      </c>
      <c r="K85" s="50">
        <v>7.6923076923076925</v>
      </c>
      <c r="L85" s="22">
        <f t="shared" ref="L85:N85" si="72">SUMPRODUCT(transpose(D$23:D$27),($G85:$K85)/100)</f>
        <v>6.352307692</v>
      </c>
      <c r="M85" s="22">
        <f t="shared" si="72"/>
        <v>2.730769231</v>
      </c>
      <c r="N85" s="22">
        <f t="shared" si="72"/>
        <v>8.09</v>
      </c>
      <c r="O85" s="51" t="str">
        <f t="shared" si="23"/>
        <v>DETR</v>
      </c>
    </row>
    <row r="86">
      <c r="A86" s="47" t="s">
        <v>99</v>
      </c>
      <c r="B86" s="53">
        <v>5.0</v>
      </c>
      <c r="C86" s="53">
        <v>9.0</v>
      </c>
      <c r="D86" s="53">
        <v>3.0</v>
      </c>
      <c r="E86" s="53">
        <v>2.0</v>
      </c>
      <c r="F86" s="53">
        <v>7.0</v>
      </c>
      <c r="G86" s="23">
        <v>19.230769230769234</v>
      </c>
      <c r="H86" s="50">
        <v>34.61538461538461</v>
      </c>
      <c r="I86" s="50">
        <v>11.538461538461538</v>
      </c>
      <c r="J86" s="50">
        <v>7.6923076923076925</v>
      </c>
      <c r="K86" s="50">
        <v>26.923076923076923</v>
      </c>
      <c r="L86" s="22">
        <f t="shared" ref="L86:N86" si="73">SUMPRODUCT(transpose(D$23:D$27),($G86:$K86)/100)</f>
        <v>6.51</v>
      </c>
      <c r="M86" s="22">
        <f t="shared" si="73"/>
        <v>2.730769231</v>
      </c>
      <c r="N86" s="22">
        <f t="shared" si="73"/>
        <v>7.488076923</v>
      </c>
      <c r="O86" s="51" t="str">
        <f t="shared" si="23"/>
        <v>DETR</v>
      </c>
    </row>
    <row r="87">
      <c r="A87" s="47" t="s">
        <v>100</v>
      </c>
      <c r="B87" s="53">
        <v>5.0</v>
      </c>
      <c r="C87" s="53">
        <v>9.0</v>
      </c>
      <c r="D87" s="53">
        <v>2.0</v>
      </c>
      <c r="E87" s="53">
        <v>7.0</v>
      </c>
      <c r="F87" s="53">
        <v>3.0</v>
      </c>
      <c r="G87" s="23">
        <v>19.230769230769234</v>
      </c>
      <c r="H87" s="50">
        <v>34.61538461538461</v>
      </c>
      <c r="I87" s="50">
        <v>7.6923076923076925</v>
      </c>
      <c r="J87" s="50">
        <v>26.923076923076923</v>
      </c>
      <c r="K87" s="50">
        <v>11.538461538461538</v>
      </c>
      <c r="L87" s="22">
        <f t="shared" ref="L87:N87" si="74">SUMPRODUCT(transpose(D$23:D$27),($G87:$K87)/100)</f>
        <v>6.404230769</v>
      </c>
      <c r="M87" s="22">
        <f t="shared" si="74"/>
        <v>2.730769231</v>
      </c>
      <c r="N87" s="22">
        <f t="shared" si="74"/>
        <v>7.969615385</v>
      </c>
      <c r="O87" s="51" t="str">
        <f t="shared" si="23"/>
        <v>DETR</v>
      </c>
    </row>
    <row r="88">
      <c r="A88" s="47" t="s">
        <v>101</v>
      </c>
      <c r="B88" s="53">
        <v>5.0</v>
      </c>
      <c r="C88" s="53">
        <v>9.0</v>
      </c>
      <c r="D88" s="53">
        <v>2.0</v>
      </c>
      <c r="E88" s="53">
        <v>3.0</v>
      </c>
      <c r="F88" s="53">
        <v>7.0</v>
      </c>
      <c r="G88" s="23">
        <v>19.230769230769234</v>
      </c>
      <c r="H88" s="50">
        <v>34.61538461538461</v>
      </c>
      <c r="I88" s="50">
        <v>7.6923076923076925</v>
      </c>
      <c r="J88" s="50">
        <v>11.538461538461538</v>
      </c>
      <c r="K88" s="50">
        <v>26.923076923076923</v>
      </c>
      <c r="L88" s="22">
        <f t="shared" ref="L88:N88" si="75">SUMPRODUCT(transpose(D$23:D$27),($G88:$K88)/100)</f>
        <v>6.530384615</v>
      </c>
      <c r="M88" s="22">
        <f t="shared" si="75"/>
        <v>2.730769231</v>
      </c>
      <c r="N88" s="22">
        <f t="shared" si="75"/>
        <v>7.488076923</v>
      </c>
      <c r="O88" s="51" t="str">
        <f t="shared" si="23"/>
        <v>DETR</v>
      </c>
    </row>
    <row r="89">
      <c r="A89" s="47" t="s">
        <v>102</v>
      </c>
      <c r="B89" s="53">
        <v>5.0</v>
      </c>
      <c r="C89" s="53">
        <v>7.0</v>
      </c>
      <c r="D89" s="53">
        <v>9.0</v>
      </c>
      <c r="E89" s="53">
        <v>3.0</v>
      </c>
      <c r="F89" s="53">
        <v>2.0</v>
      </c>
      <c r="G89" s="23">
        <v>19.230769230769234</v>
      </c>
      <c r="H89" s="50">
        <v>26.923076923076923</v>
      </c>
      <c r="I89" s="50">
        <v>34.61538461538461</v>
      </c>
      <c r="J89" s="50">
        <v>11.538461538461538</v>
      </c>
      <c r="K89" s="50">
        <v>7.6923076923076925</v>
      </c>
      <c r="L89" s="22">
        <f t="shared" ref="L89:N89" si="76">SUMPRODUCT(transpose(D$23:D$27),($G89:$K89)/100)</f>
        <v>6.509230769</v>
      </c>
      <c r="M89" s="22">
        <f t="shared" si="76"/>
        <v>2.730769231</v>
      </c>
      <c r="N89" s="22">
        <f t="shared" si="76"/>
        <v>8.09</v>
      </c>
      <c r="O89" s="51" t="str">
        <f t="shared" si="23"/>
        <v>DETR</v>
      </c>
    </row>
    <row r="90">
      <c r="A90" s="47" t="s">
        <v>103</v>
      </c>
      <c r="B90" s="53">
        <v>5.0</v>
      </c>
      <c r="C90" s="53">
        <v>7.0</v>
      </c>
      <c r="D90" s="53">
        <v>9.0</v>
      </c>
      <c r="E90" s="53">
        <v>2.0</v>
      </c>
      <c r="F90" s="53">
        <v>3.0</v>
      </c>
      <c r="G90" s="23">
        <v>19.230769230769234</v>
      </c>
      <c r="H90" s="50">
        <v>26.923076923076923</v>
      </c>
      <c r="I90" s="50">
        <v>34.61538461538461</v>
      </c>
      <c r="J90" s="50">
        <v>7.6923076923076925</v>
      </c>
      <c r="K90" s="50">
        <v>11.538461538461538</v>
      </c>
      <c r="L90" s="22">
        <f t="shared" ref="L90:N90" si="77">SUMPRODUCT(transpose(D$23:D$27),($G90:$K90)/100)</f>
        <v>6.540769231</v>
      </c>
      <c r="M90" s="22">
        <f t="shared" si="77"/>
        <v>2.730769231</v>
      </c>
      <c r="N90" s="22">
        <f t="shared" si="77"/>
        <v>7.969615385</v>
      </c>
      <c r="O90" s="51" t="str">
        <f t="shared" si="23"/>
        <v>DETR</v>
      </c>
    </row>
    <row r="91">
      <c r="A91" s="47" t="s">
        <v>104</v>
      </c>
      <c r="B91" s="53">
        <v>5.0</v>
      </c>
      <c r="C91" s="53">
        <v>7.0</v>
      </c>
      <c r="D91" s="53">
        <v>3.0</v>
      </c>
      <c r="E91" s="53">
        <v>9.0</v>
      </c>
      <c r="F91" s="53">
        <v>2.0</v>
      </c>
      <c r="G91" s="23">
        <v>19.230769230769234</v>
      </c>
      <c r="H91" s="50">
        <v>26.923076923076923</v>
      </c>
      <c r="I91" s="50">
        <v>11.538461538461538</v>
      </c>
      <c r="J91" s="50">
        <v>34.61538461538461</v>
      </c>
      <c r="K91" s="50">
        <v>7.6923076923076925</v>
      </c>
      <c r="L91" s="22">
        <f t="shared" ref="L91:N91" si="78">SUMPRODUCT(transpose(D$23:D$27),($G91:$K91)/100)</f>
        <v>6.631538462</v>
      </c>
      <c r="M91" s="22">
        <f t="shared" si="78"/>
        <v>2.730769231</v>
      </c>
      <c r="N91" s="22">
        <f t="shared" si="78"/>
        <v>8.09</v>
      </c>
      <c r="O91" s="51" t="str">
        <f t="shared" si="23"/>
        <v>DETR</v>
      </c>
    </row>
    <row r="92">
      <c r="A92" s="47" t="s">
        <v>105</v>
      </c>
      <c r="B92" s="53">
        <v>5.0</v>
      </c>
      <c r="C92" s="53">
        <v>7.0</v>
      </c>
      <c r="D92" s="53">
        <v>3.0</v>
      </c>
      <c r="E92" s="53">
        <v>2.0</v>
      </c>
      <c r="F92" s="53">
        <v>9.0</v>
      </c>
      <c r="G92" s="23">
        <v>19.230769230769234</v>
      </c>
      <c r="H92" s="50">
        <v>26.923076923076923</v>
      </c>
      <c r="I92" s="50">
        <v>11.538461538461538</v>
      </c>
      <c r="J92" s="50">
        <v>7.6923076923076925</v>
      </c>
      <c r="K92" s="50">
        <v>34.61538461538461</v>
      </c>
      <c r="L92" s="22">
        <f t="shared" ref="L92:N92" si="79">SUMPRODUCT(transpose(D$23:D$27),($G92:$K92)/100)</f>
        <v>6.852307692</v>
      </c>
      <c r="M92" s="22">
        <f t="shared" si="79"/>
        <v>2.730769231</v>
      </c>
      <c r="N92" s="22">
        <f t="shared" si="79"/>
        <v>7.247307692</v>
      </c>
      <c r="O92" s="51" t="str">
        <f t="shared" si="23"/>
        <v>DETR</v>
      </c>
    </row>
    <row r="93">
      <c r="A93" s="47" t="s">
        <v>106</v>
      </c>
      <c r="B93" s="53">
        <v>5.0</v>
      </c>
      <c r="C93" s="53">
        <v>7.0</v>
      </c>
      <c r="D93" s="53">
        <v>2.0</v>
      </c>
      <c r="E93" s="53">
        <v>9.0</v>
      </c>
      <c r="F93" s="53">
        <v>3.0</v>
      </c>
      <c r="G93" s="23">
        <v>19.230769230769234</v>
      </c>
      <c r="H93" s="50">
        <v>26.923076923076923</v>
      </c>
      <c r="I93" s="50">
        <v>7.6923076923076925</v>
      </c>
      <c r="J93" s="50">
        <v>34.61538461538461</v>
      </c>
      <c r="K93" s="50">
        <v>11.538461538461538</v>
      </c>
      <c r="L93" s="22">
        <f t="shared" ref="L93:N93" si="80">SUMPRODUCT(transpose(D$23:D$27),($G93:$K93)/100)</f>
        <v>6.683461538</v>
      </c>
      <c r="M93" s="22">
        <f t="shared" si="80"/>
        <v>2.730769231</v>
      </c>
      <c r="N93" s="22">
        <f t="shared" si="80"/>
        <v>7.969615385</v>
      </c>
      <c r="O93" s="51" t="str">
        <f t="shared" si="23"/>
        <v>DETR</v>
      </c>
    </row>
    <row r="94">
      <c r="A94" s="47" t="s">
        <v>107</v>
      </c>
      <c r="B94" s="53">
        <v>5.0</v>
      </c>
      <c r="C94" s="53">
        <v>7.0</v>
      </c>
      <c r="D94" s="53">
        <v>2.0</v>
      </c>
      <c r="E94" s="53">
        <v>3.0</v>
      </c>
      <c r="F94" s="53">
        <v>9.0</v>
      </c>
      <c r="G94" s="23">
        <v>19.230769230769234</v>
      </c>
      <c r="H94" s="50">
        <v>26.923076923076923</v>
      </c>
      <c r="I94" s="50">
        <v>7.6923076923076925</v>
      </c>
      <c r="J94" s="50">
        <v>11.538461538461538</v>
      </c>
      <c r="K94" s="50">
        <v>34.61538461538461</v>
      </c>
      <c r="L94" s="22">
        <f t="shared" ref="L94:N94" si="81">SUMPRODUCT(transpose(D$23:D$27),($G94:$K94)/100)</f>
        <v>6.872692308</v>
      </c>
      <c r="M94" s="22">
        <f t="shared" si="81"/>
        <v>2.730769231</v>
      </c>
      <c r="N94" s="22">
        <f t="shared" si="81"/>
        <v>7.247307692</v>
      </c>
      <c r="O94" s="51" t="str">
        <f t="shared" si="23"/>
        <v>DETR</v>
      </c>
    </row>
    <row r="95">
      <c r="A95" s="47" t="s">
        <v>108</v>
      </c>
      <c r="B95" s="53">
        <v>5.0</v>
      </c>
      <c r="C95" s="53">
        <v>3.0</v>
      </c>
      <c r="D95" s="53">
        <v>9.0</v>
      </c>
      <c r="E95" s="53">
        <v>7.0</v>
      </c>
      <c r="F95" s="53">
        <v>2.0</v>
      </c>
      <c r="G95" s="23">
        <v>19.230769230769234</v>
      </c>
      <c r="H95" s="50">
        <v>11.538461538461538</v>
      </c>
      <c r="I95" s="50">
        <v>34.61538461538461</v>
      </c>
      <c r="J95" s="50">
        <v>26.923076923076923</v>
      </c>
      <c r="K95" s="50">
        <v>7.6923076923076925</v>
      </c>
      <c r="L95" s="22">
        <f t="shared" ref="L95:N95" si="82">SUMPRODUCT(transpose(D$23:D$27),($G95:$K95)/100)</f>
        <v>7.067692308</v>
      </c>
      <c r="M95" s="22">
        <f t="shared" si="82"/>
        <v>2.730769231</v>
      </c>
      <c r="N95" s="22">
        <f t="shared" si="82"/>
        <v>8.09</v>
      </c>
      <c r="O95" s="51" t="str">
        <f t="shared" si="23"/>
        <v>DETR</v>
      </c>
    </row>
    <row r="96">
      <c r="A96" s="47" t="s">
        <v>109</v>
      </c>
      <c r="B96" s="53">
        <v>5.0</v>
      </c>
      <c r="C96" s="53">
        <v>3.0</v>
      </c>
      <c r="D96" s="53">
        <v>9.0</v>
      </c>
      <c r="E96" s="53">
        <v>2.0</v>
      </c>
      <c r="F96" s="53">
        <v>7.0</v>
      </c>
      <c r="G96" s="23">
        <v>19.230769230769234</v>
      </c>
      <c r="H96" s="50">
        <v>11.538461538461538</v>
      </c>
      <c r="I96" s="50">
        <v>34.61538461538461</v>
      </c>
      <c r="J96" s="50">
        <v>7.6923076923076925</v>
      </c>
      <c r="K96" s="50">
        <v>26.923076923076923</v>
      </c>
      <c r="L96" s="22">
        <f t="shared" ref="L96:N96" si="83">SUMPRODUCT(transpose(D$23:D$27),($G96:$K96)/100)</f>
        <v>7.225384615</v>
      </c>
      <c r="M96" s="22">
        <f t="shared" si="83"/>
        <v>2.730769231</v>
      </c>
      <c r="N96" s="22">
        <f t="shared" si="83"/>
        <v>7.488076923</v>
      </c>
      <c r="O96" s="51" t="str">
        <f t="shared" si="23"/>
        <v>DETR</v>
      </c>
    </row>
    <row r="97">
      <c r="A97" s="47" t="s">
        <v>110</v>
      </c>
      <c r="B97" s="53">
        <v>5.0</v>
      </c>
      <c r="C97" s="53">
        <v>3.0</v>
      </c>
      <c r="D97" s="53">
        <v>7.0</v>
      </c>
      <c r="E97" s="53">
        <v>9.0</v>
      </c>
      <c r="F97" s="53">
        <v>2.0</v>
      </c>
      <c r="G97" s="23">
        <v>19.230769230769234</v>
      </c>
      <c r="H97" s="50">
        <v>11.538461538461538</v>
      </c>
      <c r="I97" s="50">
        <v>26.923076923076923</v>
      </c>
      <c r="J97" s="50">
        <v>34.61538461538461</v>
      </c>
      <c r="K97" s="50">
        <v>7.6923076923076925</v>
      </c>
      <c r="L97" s="22">
        <f t="shared" ref="L97:N97" si="84">SUMPRODUCT(transpose(D$23:D$27),($G97:$K97)/100)</f>
        <v>7.108461538</v>
      </c>
      <c r="M97" s="22">
        <f t="shared" si="84"/>
        <v>2.730769231</v>
      </c>
      <c r="N97" s="22">
        <f t="shared" si="84"/>
        <v>8.09</v>
      </c>
      <c r="O97" s="51" t="str">
        <f t="shared" si="23"/>
        <v>DETR</v>
      </c>
    </row>
    <row r="98">
      <c r="A98" s="47" t="s">
        <v>111</v>
      </c>
      <c r="B98" s="53">
        <v>5.0</v>
      </c>
      <c r="C98" s="53">
        <v>3.0</v>
      </c>
      <c r="D98" s="53">
        <v>7.0</v>
      </c>
      <c r="E98" s="53">
        <v>2.0</v>
      </c>
      <c r="F98" s="53">
        <v>9.0</v>
      </c>
      <c r="G98" s="23">
        <v>19.230769230769234</v>
      </c>
      <c r="H98" s="50">
        <v>11.538461538461538</v>
      </c>
      <c r="I98" s="50">
        <v>26.923076923076923</v>
      </c>
      <c r="J98" s="50">
        <v>7.6923076923076925</v>
      </c>
      <c r="K98" s="50">
        <v>34.61538461538461</v>
      </c>
      <c r="L98" s="22">
        <f t="shared" ref="L98:N98" si="85">SUMPRODUCT(transpose(D$23:D$27),($G98:$K98)/100)</f>
        <v>7.329230769</v>
      </c>
      <c r="M98" s="22">
        <f t="shared" si="85"/>
        <v>2.730769231</v>
      </c>
      <c r="N98" s="22">
        <f t="shared" si="85"/>
        <v>7.247307692</v>
      </c>
      <c r="O98" s="51" t="str">
        <f t="shared" si="23"/>
        <v>Faster R-CNN</v>
      </c>
    </row>
    <row r="99">
      <c r="A99" s="47" t="s">
        <v>112</v>
      </c>
      <c r="B99" s="53">
        <v>5.0</v>
      </c>
      <c r="C99" s="53">
        <v>3.0</v>
      </c>
      <c r="D99" s="53">
        <v>2.0</v>
      </c>
      <c r="E99" s="53">
        <v>9.0</v>
      </c>
      <c r="F99" s="53">
        <v>7.0</v>
      </c>
      <c r="G99" s="23">
        <v>19.230769230769234</v>
      </c>
      <c r="H99" s="50">
        <v>11.538461538461538</v>
      </c>
      <c r="I99" s="50">
        <v>7.6923076923076925</v>
      </c>
      <c r="J99" s="50">
        <v>34.61538461538461</v>
      </c>
      <c r="K99" s="50">
        <v>26.923076923076923</v>
      </c>
      <c r="L99" s="22">
        <f t="shared" ref="L99:N99" si="86">SUMPRODUCT(transpose(D$23:D$27),($G99:$K99)/100)</f>
        <v>7.368076923</v>
      </c>
      <c r="M99" s="22">
        <f t="shared" si="86"/>
        <v>2.730769231</v>
      </c>
      <c r="N99" s="22">
        <f t="shared" si="86"/>
        <v>7.488076923</v>
      </c>
      <c r="O99" s="51" t="str">
        <f t="shared" si="23"/>
        <v>DETR</v>
      </c>
    </row>
    <row r="100">
      <c r="A100" s="47" t="s">
        <v>113</v>
      </c>
      <c r="B100" s="53">
        <v>5.0</v>
      </c>
      <c r="C100" s="53">
        <v>3.0</v>
      </c>
      <c r="D100" s="53">
        <v>2.0</v>
      </c>
      <c r="E100" s="53">
        <v>7.0</v>
      </c>
      <c r="F100" s="53">
        <v>9.0</v>
      </c>
      <c r="G100" s="23">
        <v>19.230769230769234</v>
      </c>
      <c r="H100" s="50">
        <v>11.538461538461538</v>
      </c>
      <c r="I100" s="50">
        <v>7.6923076923076925</v>
      </c>
      <c r="J100" s="50">
        <v>26.923076923076923</v>
      </c>
      <c r="K100" s="50">
        <v>34.61538461538461</v>
      </c>
      <c r="L100" s="22">
        <f t="shared" ref="L100:N100" si="87">SUMPRODUCT(transpose(D$23:D$27),($G100:$K100)/100)</f>
        <v>7.431153846</v>
      </c>
      <c r="M100" s="22">
        <f t="shared" si="87"/>
        <v>2.730769231</v>
      </c>
      <c r="N100" s="22">
        <f t="shared" si="87"/>
        <v>7.247307692</v>
      </c>
      <c r="O100" s="51" t="str">
        <f t="shared" si="23"/>
        <v>Faster R-CNN</v>
      </c>
    </row>
    <row r="101">
      <c r="A101" s="47" t="s">
        <v>114</v>
      </c>
      <c r="B101" s="53">
        <v>5.0</v>
      </c>
      <c r="C101" s="53">
        <v>2.0</v>
      </c>
      <c r="D101" s="53">
        <v>9.0</v>
      </c>
      <c r="E101" s="53">
        <v>7.0</v>
      </c>
      <c r="F101" s="53">
        <v>3.0</v>
      </c>
      <c r="G101" s="23">
        <v>19.230769230769234</v>
      </c>
      <c r="H101" s="50">
        <v>7.6923076923076925</v>
      </c>
      <c r="I101" s="50">
        <v>34.61538461538461</v>
      </c>
      <c r="J101" s="50">
        <v>26.923076923076923</v>
      </c>
      <c r="K101" s="50">
        <v>11.538461538461538</v>
      </c>
      <c r="L101" s="22">
        <f t="shared" ref="L101:N101" si="88">SUMPRODUCT(transpose(D$23:D$27),($G101:$K101)/100)</f>
        <v>7.238846154</v>
      </c>
      <c r="M101" s="22">
        <f t="shared" si="88"/>
        <v>2.730769231</v>
      </c>
      <c r="N101" s="22">
        <f t="shared" si="88"/>
        <v>7.969615385</v>
      </c>
      <c r="O101" s="51" t="str">
        <f t="shared" si="23"/>
        <v>DETR</v>
      </c>
    </row>
    <row r="102">
      <c r="A102" s="47" t="s">
        <v>115</v>
      </c>
      <c r="B102" s="53">
        <v>5.0</v>
      </c>
      <c r="C102" s="53">
        <v>2.0</v>
      </c>
      <c r="D102" s="53">
        <v>9.0</v>
      </c>
      <c r="E102" s="53">
        <v>3.0</v>
      </c>
      <c r="F102" s="53">
        <v>7.0</v>
      </c>
      <c r="G102" s="23">
        <v>19.230769230769234</v>
      </c>
      <c r="H102" s="50">
        <v>7.6923076923076925</v>
      </c>
      <c r="I102" s="50">
        <v>34.61538461538461</v>
      </c>
      <c r="J102" s="50">
        <v>11.538461538461538</v>
      </c>
      <c r="K102" s="50">
        <v>26.923076923076923</v>
      </c>
      <c r="L102" s="22">
        <f t="shared" ref="L102:N102" si="89">SUMPRODUCT(transpose(D$23:D$27),($G102:$K102)/100)</f>
        <v>7.365</v>
      </c>
      <c r="M102" s="22">
        <f t="shared" si="89"/>
        <v>2.730769231</v>
      </c>
      <c r="N102" s="22">
        <f t="shared" si="89"/>
        <v>7.488076923</v>
      </c>
      <c r="O102" s="51" t="str">
        <f t="shared" si="23"/>
        <v>DETR</v>
      </c>
    </row>
    <row r="103">
      <c r="A103" s="47" t="s">
        <v>116</v>
      </c>
      <c r="B103" s="53">
        <v>5.0</v>
      </c>
      <c r="C103" s="53">
        <v>2.0</v>
      </c>
      <c r="D103" s="53">
        <v>7.0</v>
      </c>
      <c r="E103" s="53">
        <v>9.0</v>
      </c>
      <c r="F103" s="53">
        <v>3.0</v>
      </c>
      <c r="G103" s="23">
        <v>19.230769230769234</v>
      </c>
      <c r="H103" s="50">
        <v>7.6923076923076925</v>
      </c>
      <c r="I103" s="50">
        <v>26.923076923076923</v>
      </c>
      <c r="J103" s="50">
        <v>34.61538461538461</v>
      </c>
      <c r="K103" s="50">
        <v>11.538461538461538</v>
      </c>
      <c r="L103" s="22">
        <f t="shared" ref="L103:N103" si="90">SUMPRODUCT(transpose(D$23:D$27),($G103:$K103)/100)</f>
        <v>7.279615385</v>
      </c>
      <c r="M103" s="22">
        <f t="shared" si="90"/>
        <v>2.730769231</v>
      </c>
      <c r="N103" s="22">
        <f t="shared" si="90"/>
        <v>7.969615385</v>
      </c>
      <c r="O103" s="51" t="str">
        <f t="shared" si="23"/>
        <v>DETR</v>
      </c>
    </row>
    <row r="104">
      <c r="A104" s="47" t="s">
        <v>117</v>
      </c>
      <c r="B104" s="53">
        <v>5.0</v>
      </c>
      <c r="C104" s="53">
        <v>2.0</v>
      </c>
      <c r="D104" s="53">
        <v>7.0</v>
      </c>
      <c r="E104" s="53">
        <v>3.0</v>
      </c>
      <c r="F104" s="53">
        <v>9.0</v>
      </c>
      <c r="G104" s="23">
        <v>19.230769230769234</v>
      </c>
      <c r="H104" s="50">
        <v>7.6923076923076925</v>
      </c>
      <c r="I104" s="50">
        <v>26.923076923076923</v>
      </c>
      <c r="J104" s="50">
        <v>11.538461538461538</v>
      </c>
      <c r="K104" s="50">
        <v>34.61538461538461</v>
      </c>
      <c r="L104" s="22">
        <f t="shared" ref="L104:N104" si="91">SUMPRODUCT(transpose(D$23:D$27),($G104:$K104)/100)</f>
        <v>7.468846154</v>
      </c>
      <c r="M104" s="22">
        <f t="shared" si="91"/>
        <v>2.730769231</v>
      </c>
      <c r="N104" s="22">
        <f t="shared" si="91"/>
        <v>7.247307692</v>
      </c>
      <c r="O104" s="51" t="str">
        <f t="shared" si="23"/>
        <v>Faster R-CNN</v>
      </c>
    </row>
    <row r="105">
      <c r="A105" s="47" t="s">
        <v>118</v>
      </c>
      <c r="B105" s="53">
        <v>5.0</v>
      </c>
      <c r="C105" s="53">
        <v>2.0</v>
      </c>
      <c r="D105" s="53">
        <v>3.0</v>
      </c>
      <c r="E105" s="53">
        <v>9.0</v>
      </c>
      <c r="F105" s="53">
        <v>7.0</v>
      </c>
      <c r="G105" s="23">
        <v>19.230769230769234</v>
      </c>
      <c r="H105" s="50">
        <v>7.6923076923076925</v>
      </c>
      <c r="I105" s="50">
        <v>11.538461538461538</v>
      </c>
      <c r="J105" s="50">
        <v>34.61538461538461</v>
      </c>
      <c r="K105" s="50">
        <v>26.923076923076923</v>
      </c>
      <c r="L105" s="22">
        <f t="shared" ref="L105:N105" si="92">SUMPRODUCT(transpose(D$23:D$27),($G105:$K105)/100)</f>
        <v>7.487307692</v>
      </c>
      <c r="M105" s="22">
        <f t="shared" si="92"/>
        <v>2.730769231</v>
      </c>
      <c r="N105" s="22">
        <f t="shared" si="92"/>
        <v>7.488076923</v>
      </c>
      <c r="O105" s="51" t="str">
        <f t="shared" si="23"/>
        <v>DETR</v>
      </c>
    </row>
    <row r="106">
      <c r="A106" s="47" t="s">
        <v>119</v>
      </c>
      <c r="B106" s="53">
        <v>5.0</v>
      </c>
      <c r="C106" s="53">
        <v>2.0</v>
      </c>
      <c r="D106" s="53">
        <v>3.0</v>
      </c>
      <c r="E106" s="53">
        <v>7.0</v>
      </c>
      <c r="F106" s="53">
        <v>9.0</v>
      </c>
      <c r="G106" s="23">
        <v>19.230769230769234</v>
      </c>
      <c r="H106" s="50">
        <v>7.6923076923076925</v>
      </c>
      <c r="I106" s="50">
        <v>11.538461538461538</v>
      </c>
      <c r="J106" s="50">
        <v>26.923076923076923</v>
      </c>
      <c r="K106" s="50">
        <v>34.61538461538461</v>
      </c>
      <c r="L106" s="22">
        <f t="shared" ref="L106:N106" si="93">SUMPRODUCT(transpose(D$23:D$27),($G106:$K106)/100)</f>
        <v>7.550384615</v>
      </c>
      <c r="M106" s="22">
        <f t="shared" si="93"/>
        <v>2.730769231</v>
      </c>
      <c r="N106" s="22">
        <f t="shared" si="93"/>
        <v>7.247307692</v>
      </c>
      <c r="O106" s="51" t="str">
        <f t="shared" si="23"/>
        <v>Faster R-CNN</v>
      </c>
    </row>
    <row r="107">
      <c r="A107" s="47" t="s">
        <v>120</v>
      </c>
      <c r="B107" s="53">
        <v>3.0</v>
      </c>
      <c r="C107" s="53">
        <v>9.0</v>
      </c>
      <c r="D107" s="53">
        <v>7.0</v>
      </c>
      <c r="E107" s="53">
        <v>5.0</v>
      </c>
      <c r="F107" s="53">
        <v>2.0</v>
      </c>
      <c r="G107" s="23">
        <v>11.538461538461538</v>
      </c>
      <c r="H107" s="50">
        <v>34.61538461538461</v>
      </c>
      <c r="I107" s="50">
        <v>26.923076923076923</v>
      </c>
      <c r="J107" s="50">
        <v>19.230769230769234</v>
      </c>
      <c r="K107" s="50">
        <v>7.6923076923076925</v>
      </c>
      <c r="L107" s="22">
        <f t="shared" ref="L107:N107" si="94">SUMPRODUCT(transpose(D$23:D$27),($G107:$K107)/100)</f>
        <v>6.9</v>
      </c>
      <c r="M107" s="22">
        <f t="shared" si="94"/>
        <v>2.038461538</v>
      </c>
      <c r="N107" s="22">
        <f t="shared" si="94"/>
        <v>8.757692308</v>
      </c>
      <c r="O107" s="51" t="str">
        <f t="shared" si="23"/>
        <v>DETR</v>
      </c>
    </row>
    <row r="108">
      <c r="A108" s="47" t="s">
        <v>121</v>
      </c>
      <c r="B108" s="53">
        <v>3.0</v>
      </c>
      <c r="C108" s="53">
        <v>9.0</v>
      </c>
      <c r="D108" s="53">
        <v>7.0</v>
      </c>
      <c r="E108" s="53">
        <v>2.0</v>
      </c>
      <c r="F108" s="53">
        <v>5.0</v>
      </c>
      <c r="G108" s="23">
        <v>11.538461538461538</v>
      </c>
      <c r="H108" s="50">
        <v>34.61538461538461</v>
      </c>
      <c r="I108" s="50">
        <v>26.923076923076923</v>
      </c>
      <c r="J108" s="50">
        <v>7.6923076923076925</v>
      </c>
      <c r="K108" s="50">
        <v>19.230769230769234</v>
      </c>
      <c r="L108" s="22">
        <f t="shared" ref="L108:N108" si="95">SUMPRODUCT(transpose(D$23:D$27),($G108:$K108)/100)</f>
        <v>6.994615385</v>
      </c>
      <c r="M108" s="22">
        <f t="shared" si="95"/>
        <v>2.038461538</v>
      </c>
      <c r="N108" s="22">
        <f t="shared" si="95"/>
        <v>8.396538462</v>
      </c>
      <c r="O108" s="51" t="str">
        <f t="shared" si="23"/>
        <v>DETR</v>
      </c>
    </row>
    <row r="109">
      <c r="A109" s="47" t="s">
        <v>122</v>
      </c>
      <c r="B109" s="53">
        <v>3.0</v>
      </c>
      <c r="C109" s="53">
        <v>9.0</v>
      </c>
      <c r="D109" s="53">
        <v>5.0</v>
      </c>
      <c r="E109" s="53">
        <v>7.0</v>
      </c>
      <c r="F109" s="53">
        <v>2.0</v>
      </c>
      <c r="G109" s="23">
        <v>11.538461538461538</v>
      </c>
      <c r="H109" s="50">
        <v>34.61538461538461</v>
      </c>
      <c r="I109" s="50">
        <v>19.230769230769234</v>
      </c>
      <c r="J109" s="50">
        <v>26.923076923076923</v>
      </c>
      <c r="K109" s="50">
        <v>7.6923076923076925</v>
      </c>
      <c r="L109" s="22">
        <f t="shared" ref="L109:N109" si="96">SUMPRODUCT(transpose(D$23:D$27),($G109:$K109)/100)</f>
        <v>6.940769231</v>
      </c>
      <c r="M109" s="22">
        <f t="shared" si="96"/>
        <v>2.038461538</v>
      </c>
      <c r="N109" s="22">
        <f t="shared" si="96"/>
        <v>8.757692308</v>
      </c>
      <c r="O109" s="51" t="str">
        <f t="shared" si="23"/>
        <v>DETR</v>
      </c>
    </row>
    <row r="110">
      <c r="A110" s="47" t="s">
        <v>123</v>
      </c>
      <c r="B110" s="53">
        <v>3.0</v>
      </c>
      <c r="C110" s="53">
        <v>9.0</v>
      </c>
      <c r="D110" s="53">
        <v>5.0</v>
      </c>
      <c r="E110" s="53">
        <v>2.0</v>
      </c>
      <c r="F110" s="53">
        <v>7.0</v>
      </c>
      <c r="G110" s="23">
        <v>11.538461538461538</v>
      </c>
      <c r="H110" s="50">
        <v>34.61538461538461</v>
      </c>
      <c r="I110" s="50">
        <v>19.230769230769234</v>
      </c>
      <c r="J110" s="50">
        <v>7.6923076923076925</v>
      </c>
      <c r="K110" s="50">
        <v>26.923076923076923</v>
      </c>
      <c r="L110" s="22">
        <f t="shared" ref="L110:N110" si="97">SUMPRODUCT(transpose(D$23:D$27),($G110:$K110)/100)</f>
        <v>7.098461538</v>
      </c>
      <c r="M110" s="22">
        <f t="shared" si="97"/>
        <v>2.038461538</v>
      </c>
      <c r="N110" s="22">
        <f t="shared" si="97"/>
        <v>8.155769231</v>
      </c>
      <c r="O110" s="51" t="str">
        <f t="shared" si="23"/>
        <v>DETR</v>
      </c>
    </row>
    <row r="111">
      <c r="A111" s="47" t="s">
        <v>124</v>
      </c>
      <c r="B111" s="53">
        <v>3.0</v>
      </c>
      <c r="C111" s="53">
        <v>9.0</v>
      </c>
      <c r="D111" s="53">
        <v>2.0</v>
      </c>
      <c r="E111" s="53">
        <v>7.0</v>
      </c>
      <c r="F111" s="53">
        <v>5.0</v>
      </c>
      <c r="G111" s="23">
        <v>11.538461538461538</v>
      </c>
      <c r="H111" s="50">
        <v>34.61538461538461</v>
      </c>
      <c r="I111" s="50">
        <v>7.6923076923076925</v>
      </c>
      <c r="J111" s="50">
        <v>26.923076923076923</v>
      </c>
      <c r="K111" s="50">
        <v>19.230769230769234</v>
      </c>
      <c r="L111" s="22">
        <f t="shared" ref="L111:N111" si="98">SUMPRODUCT(transpose(D$23:D$27),($G111:$K111)/100)</f>
        <v>7.096538462</v>
      </c>
      <c r="M111" s="22">
        <f t="shared" si="98"/>
        <v>2.038461538</v>
      </c>
      <c r="N111" s="22">
        <f t="shared" si="98"/>
        <v>8.396538462</v>
      </c>
      <c r="O111" s="51" t="str">
        <f t="shared" si="23"/>
        <v>DETR</v>
      </c>
    </row>
    <row r="112">
      <c r="A112" s="47" t="s">
        <v>125</v>
      </c>
      <c r="B112" s="53">
        <v>3.0</v>
      </c>
      <c r="C112" s="53">
        <v>9.0</v>
      </c>
      <c r="D112" s="53">
        <v>2.0</v>
      </c>
      <c r="E112" s="53">
        <v>5.0</v>
      </c>
      <c r="F112" s="53">
        <v>7.0</v>
      </c>
      <c r="G112" s="23">
        <v>11.538461538461538</v>
      </c>
      <c r="H112" s="50">
        <v>34.61538461538461</v>
      </c>
      <c r="I112" s="50">
        <v>7.6923076923076925</v>
      </c>
      <c r="J112" s="50">
        <v>19.230769230769234</v>
      </c>
      <c r="K112" s="50">
        <v>26.923076923076923</v>
      </c>
      <c r="L112" s="22">
        <f t="shared" ref="L112:N112" si="99">SUMPRODUCT(transpose(D$23:D$27),($G112:$K112)/100)</f>
        <v>7.159615385</v>
      </c>
      <c r="M112" s="22">
        <f t="shared" si="99"/>
        <v>2.038461538</v>
      </c>
      <c r="N112" s="22">
        <f t="shared" si="99"/>
        <v>8.155769231</v>
      </c>
      <c r="O112" s="51" t="str">
        <f t="shared" si="23"/>
        <v>DETR</v>
      </c>
    </row>
    <row r="113">
      <c r="A113" s="47" t="s">
        <v>126</v>
      </c>
      <c r="B113" s="53">
        <v>3.0</v>
      </c>
      <c r="C113" s="53">
        <v>7.0</v>
      </c>
      <c r="D113" s="53">
        <v>9.0</v>
      </c>
      <c r="E113" s="53">
        <v>5.0</v>
      </c>
      <c r="F113" s="53">
        <v>2.0</v>
      </c>
      <c r="G113" s="23">
        <v>11.538461538461538</v>
      </c>
      <c r="H113" s="50">
        <v>26.923076923076923</v>
      </c>
      <c r="I113" s="50">
        <v>34.61538461538461</v>
      </c>
      <c r="J113" s="50">
        <v>19.230769230769234</v>
      </c>
      <c r="K113" s="50">
        <v>7.6923076923076925</v>
      </c>
      <c r="L113" s="22">
        <f t="shared" ref="L113:N113" si="100">SUMPRODUCT(transpose(D$23:D$27),($G113:$K113)/100)</f>
        <v>7.138461538</v>
      </c>
      <c r="M113" s="22">
        <f t="shared" si="100"/>
        <v>2.038461538</v>
      </c>
      <c r="N113" s="22">
        <f t="shared" si="100"/>
        <v>8.757692308</v>
      </c>
      <c r="O113" s="51" t="str">
        <f t="shared" si="23"/>
        <v>DETR</v>
      </c>
    </row>
    <row r="114">
      <c r="A114" s="47" t="s">
        <v>127</v>
      </c>
      <c r="B114" s="53">
        <v>3.0</v>
      </c>
      <c r="C114" s="53">
        <v>7.0</v>
      </c>
      <c r="D114" s="53">
        <v>9.0</v>
      </c>
      <c r="E114" s="53">
        <v>2.0</v>
      </c>
      <c r="F114" s="53">
        <v>5.0</v>
      </c>
      <c r="G114" s="23">
        <v>11.538461538461538</v>
      </c>
      <c r="H114" s="50">
        <v>26.923076923076923</v>
      </c>
      <c r="I114" s="50">
        <v>34.61538461538461</v>
      </c>
      <c r="J114" s="50">
        <v>7.6923076923076925</v>
      </c>
      <c r="K114" s="50">
        <v>19.230769230769234</v>
      </c>
      <c r="L114" s="22">
        <f t="shared" ref="L114:N114" si="101">SUMPRODUCT(transpose(D$23:D$27),($G114:$K114)/100)</f>
        <v>7.233076923</v>
      </c>
      <c r="M114" s="22">
        <f t="shared" si="101"/>
        <v>2.038461538</v>
      </c>
      <c r="N114" s="22">
        <f t="shared" si="101"/>
        <v>8.396538462</v>
      </c>
      <c r="O114" s="51" t="str">
        <f t="shared" si="23"/>
        <v>DETR</v>
      </c>
    </row>
    <row r="115">
      <c r="A115" s="47" t="s">
        <v>128</v>
      </c>
      <c r="B115" s="53">
        <v>3.0</v>
      </c>
      <c r="C115" s="53">
        <v>7.0</v>
      </c>
      <c r="D115" s="53">
        <v>5.0</v>
      </c>
      <c r="E115" s="53">
        <v>9.0</v>
      </c>
      <c r="F115" s="53">
        <v>2.0</v>
      </c>
      <c r="G115" s="23">
        <v>11.538461538461538</v>
      </c>
      <c r="H115" s="50">
        <v>26.923076923076923</v>
      </c>
      <c r="I115" s="50">
        <v>19.230769230769234</v>
      </c>
      <c r="J115" s="50">
        <v>34.61538461538461</v>
      </c>
      <c r="K115" s="50">
        <v>7.6923076923076925</v>
      </c>
      <c r="L115" s="22">
        <f t="shared" ref="L115:N115" si="102">SUMPRODUCT(transpose(D$23:D$27),($G115:$K115)/100)</f>
        <v>7.22</v>
      </c>
      <c r="M115" s="22">
        <f t="shared" si="102"/>
        <v>2.038461538</v>
      </c>
      <c r="N115" s="22">
        <f t="shared" si="102"/>
        <v>8.757692308</v>
      </c>
      <c r="O115" s="51" t="str">
        <f t="shared" si="23"/>
        <v>DETR</v>
      </c>
    </row>
    <row r="116">
      <c r="A116" s="47" t="s">
        <v>129</v>
      </c>
      <c r="B116" s="53">
        <v>3.0</v>
      </c>
      <c r="C116" s="53">
        <v>7.0</v>
      </c>
      <c r="D116" s="53">
        <v>5.0</v>
      </c>
      <c r="E116" s="53">
        <v>2.0</v>
      </c>
      <c r="F116" s="53">
        <v>9.0</v>
      </c>
      <c r="G116" s="23">
        <v>11.538461538461538</v>
      </c>
      <c r="H116" s="50">
        <v>26.923076923076923</v>
      </c>
      <c r="I116" s="50">
        <v>19.230769230769234</v>
      </c>
      <c r="J116" s="50">
        <v>7.6923076923076925</v>
      </c>
      <c r="K116" s="50">
        <v>34.61538461538461</v>
      </c>
      <c r="L116" s="22">
        <f t="shared" ref="L116:N116" si="103">SUMPRODUCT(transpose(D$23:D$27),($G116:$K116)/100)</f>
        <v>7.440769231</v>
      </c>
      <c r="M116" s="22">
        <f t="shared" si="103"/>
        <v>2.038461538</v>
      </c>
      <c r="N116" s="22">
        <f t="shared" si="103"/>
        <v>7.915</v>
      </c>
      <c r="O116" s="51" t="str">
        <f t="shared" si="23"/>
        <v>DETR</v>
      </c>
    </row>
    <row r="117">
      <c r="A117" s="47" t="s">
        <v>130</v>
      </c>
      <c r="B117" s="53">
        <v>3.0</v>
      </c>
      <c r="C117" s="53">
        <v>7.0</v>
      </c>
      <c r="D117" s="53">
        <v>2.0</v>
      </c>
      <c r="E117" s="53">
        <v>9.0</v>
      </c>
      <c r="F117" s="53">
        <v>5.0</v>
      </c>
      <c r="G117" s="23">
        <v>11.538461538461538</v>
      </c>
      <c r="H117" s="50">
        <v>26.923076923076923</v>
      </c>
      <c r="I117" s="50">
        <v>7.6923076923076925</v>
      </c>
      <c r="J117" s="50">
        <v>34.61538461538461</v>
      </c>
      <c r="K117" s="50">
        <v>19.230769230769234</v>
      </c>
      <c r="L117" s="22">
        <f t="shared" ref="L117:N117" si="104">SUMPRODUCT(transpose(D$23:D$27),($G117:$K117)/100)</f>
        <v>7.375769231</v>
      </c>
      <c r="M117" s="22">
        <f t="shared" si="104"/>
        <v>2.038461538</v>
      </c>
      <c r="N117" s="22">
        <f t="shared" si="104"/>
        <v>8.396538462</v>
      </c>
      <c r="O117" s="51" t="str">
        <f t="shared" si="23"/>
        <v>DETR</v>
      </c>
    </row>
    <row r="118">
      <c r="A118" s="47" t="s">
        <v>131</v>
      </c>
      <c r="B118" s="53">
        <v>3.0</v>
      </c>
      <c r="C118" s="53">
        <v>7.0</v>
      </c>
      <c r="D118" s="53">
        <v>2.0</v>
      </c>
      <c r="E118" s="53">
        <v>5.0</v>
      </c>
      <c r="F118" s="53">
        <v>9.0</v>
      </c>
      <c r="G118" s="23">
        <v>11.538461538461538</v>
      </c>
      <c r="H118" s="50">
        <v>26.923076923076923</v>
      </c>
      <c r="I118" s="50">
        <v>7.6923076923076925</v>
      </c>
      <c r="J118" s="50">
        <v>19.230769230769234</v>
      </c>
      <c r="K118" s="50">
        <v>34.61538461538461</v>
      </c>
      <c r="L118" s="22">
        <f t="shared" ref="L118:N118" si="105">SUMPRODUCT(transpose(D$23:D$27),($G118:$K118)/100)</f>
        <v>7.501923077</v>
      </c>
      <c r="M118" s="22">
        <f t="shared" si="105"/>
        <v>2.038461538</v>
      </c>
      <c r="N118" s="22">
        <f t="shared" si="105"/>
        <v>7.915</v>
      </c>
      <c r="O118" s="51" t="str">
        <f t="shared" si="23"/>
        <v>DETR</v>
      </c>
    </row>
    <row r="119">
      <c r="A119" s="47" t="s">
        <v>132</v>
      </c>
      <c r="B119" s="53">
        <v>3.0</v>
      </c>
      <c r="C119" s="53">
        <v>5.0</v>
      </c>
      <c r="D119" s="53">
        <v>9.0</v>
      </c>
      <c r="E119" s="53">
        <v>7.0</v>
      </c>
      <c r="F119" s="53">
        <v>2.0</v>
      </c>
      <c r="G119" s="23">
        <v>11.538461538461538</v>
      </c>
      <c r="H119" s="50">
        <v>19.230769230769234</v>
      </c>
      <c r="I119" s="50">
        <v>34.61538461538461</v>
      </c>
      <c r="J119" s="50">
        <v>26.923076923076923</v>
      </c>
      <c r="K119" s="50">
        <v>7.6923076923076925</v>
      </c>
      <c r="L119" s="22">
        <f t="shared" ref="L119:N119" si="106">SUMPRODUCT(transpose(D$23:D$27),($G119:$K119)/100)</f>
        <v>7.417692308</v>
      </c>
      <c r="M119" s="22">
        <f t="shared" si="106"/>
        <v>2.038461538</v>
      </c>
      <c r="N119" s="22">
        <f t="shared" si="106"/>
        <v>8.757692308</v>
      </c>
      <c r="O119" s="51" t="str">
        <f t="shared" si="23"/>
        <v>DETR</v>
      </c>
    </row>
    <row r="120">
      <c r="A120" s="47" t="s">
        <v>133</v>
      </c>
      <c r="B120" s="53">
        <v>3.0</v>
      </c>
      <c r="C120" s="53">
        <v>5.0</v>
      </c>
      <c r="D120" s="53">
        <v>9.0</v>
      </c>
      <c r="E120" s="53">
        <v>2.0</v>
      </c>
      <c r="F120" s="53">
        <v>7.0</v>
      </c>
      <c r="G120" s="23">
        <v>11.538461538461538</v>
      </c>
      <c r="H120" s="50">
        <v>19.230769230769234</v>
      </c>
      <c r="I120" s="50">
        <v>34.61538461538461</v>
      </c>
      <c r="J120" s="50">
        <v>7.6923076923076925</v>
      </c>
      <c r="K120" s="50">
        <v>26.923076923076923</v>
      </c>
      <c r="L120" s="22">
        <f t="shared" ref="L120:N120" si="107">SUMPRODUCT(transpose(D$23:D$27),($G120:$K120)/100)</f>
        <v>7.575384615</v>
      </c>
      <c r="M120" s="22">
        <f t="shared" si="107"/>
        <v>2.038461538</v>
      </c>
      <c r="N120" s="22">
        <f t="shared" si="107"/>
        <v>8.155769231</v>
      </c>
      <c r="O120" s="51" t="str">
        <f t="shared" si="23"/>
        <v>DETR</v>
      </c>
    </row>
    <row r="121">
      <c r="A121" s="47" t="s">
        <v>134</v>
      </c>
      <c r="B121" s="53">
        <v>3.0</v>
      </c>
      <c r="C121" s="53">
        <v>5.0</v>
      </c>
      <c r="D121" s="53">
        <v>7.0</v>
      </c>
      <c r="E121" s="53">
        <v>9.0</v>
      </c>
      <c r="F121" s="53">
        <v>2.0</v>
      </c>
      <c r="G121" s="23">
        <v>11.538461538461538</v>
      </c>
      <c r="H121" s="50">
        <v>19.230769230769234</v>
      </c>
      <c r="I121" s="50">
        <v>26.923076923076923</v>
      </c>
      <c r="J121" s="50">
        <v>34.61538461538461</v>
      </c>
      <c r="K121" s="50">
        <v>7.6923076923076925</v>
      </c>
      <c r="L121" s="22">
        <f t="shared" ref="L121:N121" si="108">SUMPRODUCT(transpose(D$23:D$27),($G121:$K121)/100)</f>
        <v>7.458461538</v>
      </c>
      <c r="M121" s="22">
        <f t="shared" si="108"/>
        <v>2.038461538</v>
      </c>
      <c r="N121" s="22">
        <f t="shared" si="108"/>
        <v>8.757692308</v>
      </c>
      <c r="O121" s="51" t="str">
        <f t="shared" si="23"/>
        <v>DETR</v>
      </c>
    </row>
    <row r="122">
      <c r="A122" s="47" t="s">
        <v>135</v>
      </c>
      <c r="B122" s="53">
        <v>3.0</v>
      </c>
      <c r="C122" s="53">
        <v>5.0</v>
      </c>
      <c r="D122" s="53">
        <v>7.0</v>
      </c>
      <c r="E122" s="53">
        <v>2.0</v>
      </c>
      <c r="F122" s="53">
        <v>9.0</v>
      </c>
      <c r="G122" s="23">
        <v>11.538461538461538</v>
      </c>
      <c r="H122" s="50">
        <v>19.230769230769234</v>
      </c>
      <c r="I122" s="50">
        <v>26.923076923076923</v>
      </c>
      <c r="J122" s="50">
        <v>7.6923076923076925</v>
      </c>
      <c r="K122" s="50">
        <v>34.61538461538461</v>
      </c>
      <c r="L122" s="22">
        <f t="shared" ref="L122:N122" si="109">SUMPRODUCT(transpose(D$23:D$27),($G122:$K122)/100)</f>
        <v>7.679230769</v>
      </c>
      <c r="M122" s="22">
        <f t="shared" si="109"/>
        <v>2.038461538</v>
      </c>
      <c r="N122" s="22">
        <f t="shared" si="109"/>
        <v>7.915</v>
      </c>
      <c r="O122" s="51" t="str">
        <f t="shared" si="23"/>
        <v>DETR</v>
      </c>
    </row>
    <row r="123">
      <c r="A123" s="47" t="s">
        <v>136</v>
      </c>
      <c r="B123" s="53">
        <v>3.0</v>
      </c>
      <c r="C123" s="53">
        <v>5.0</v>
      </c>
      <c r="D123" s="53">
        <v>2.0</v>
      </c>
      <c r="E123" s="53">
        <v>9.0</v>
      </c>
      <c r="F123" s="53">
        <v>7.0</v>
      </c>
      <c r="G123" s="23">
        <v>11.538461538461538</v>
      </c>
      <c r="H123" s="50">
        <v>19.230769230769234</v>
      </c>
      <c r="I123" s="50">
        <v>7.6923076923076925</v>
      </c>
      <c r="J123" s="50">
        <v>34.61538461538461</v>
      </c>
      <c r="K123" s="50">
        <v>26.923076923076923</v>
      </c>
      <c r="L123" s="22">
        <f t="shared" ref="L123:N123" si="110">SUMPRODUCT(transpose(D$23:D$27),($G123:$K123)/100)</f>
        <v>7.718076923</v>
      </c>
      <c r="M123" s="22">
        <f t="shared" si="110"/>
        <v>2.038461538</v>
      </c>
      <c r="N123" s="22">
        <f t="shared" si="110"/>
        <v>8.155769231</v>
      </c>
      <c r="O123" s="51" t="str">
        <f t="shared" si="23"/>
        <v>DETR</v>
      </c>
    </row>
    <row r="124">
      <c r="A124" s="47" t="s">
        <v>137</v>
      </c>
      <c r="B124" s="53">
        <v>3.0</v>
      </c>
      <c r="C124" s="53">
        <v>5.0</v>
      </c>
      <c r="D124" s="53">
        <v>2.0</v>
      </c>
      <c r="E124" s="53">
        <v>7.0</v>
      </c>
      <c r="F124" s="53">
        <v>9.0</v>
      </c>
      <c r="G124" s="23">
        <v>11.538461538461538</v>
      </c>
      <c r="H124" s="50">
        <v>19.230769230769234</v>
      </c>
      <c r="I124" s="50">
        <v>7.6923076923076925</v>
      </c>
      <c r="J124" s="50">
        <v>26.923076923076923</v>
      </c>
      <c r="K124" s="50">
        <v>34.61538461538461</v>
      </c>
      <c r="L124" s="22">
        <f t="shared" ref="L124:N124" si="111">SUMPRODUCT(transpose(D$23:D$27),($G124:$K124)/100)</f>
        <v>7.781153846</v>
      </c>
      <c r="M124" s="22">
        <f t="shared" si="111"/>
        <v>2.038461538</v>
      </c>
      <c r="N124" s="22">
        <f t="shared" si="111"/>
        <v>7.915</v>
      </c>
      <c r="O124" s="51" t="str">
        <f t="shared" si="23"/>
        <v>DETR</v>
      </c>
    </row>
    <row r="125">
      <c r="A125" s="47" t="s">
        <v>138</v>
      </c>
      <c r="B125" s="53">
        <v>3.0</v>
      </c>
      <c r="C125" s="53">
        <v>2.0</v>
      </c>
      <c r="D125" s="53">
        <v>9.0</v>
      </c>
      <c r="E125" s="53">
        <v>7.0</v>
      </c>
      <c r="F125" s="53">
        <v>5.0</v>
      </c>
      <c r="G125" s="23">
        <v>11.538461538461538</v>
      </c>
      <c r="H125" s="50">
        <v>7.6923076923076925</v>
      </c>
      <c r="I125" s="50">
        <v>34.61538461538461</v>
      </c>
      <c r="J125" s="50">
        <v>26.923076923076923</v>
      </c>
      <c r="K125" s="50">
        <v>19.230769230769234</v>
      </c>
      <c r="L125" s="22">
        <f t="shared" ref="L125:N125" si="112">SUMPRODUCT(transpose(D$23:D$27),($G125:$K125)/100)</f>
        <v>7.931153846</v>
      </c>
      <c r="M125" s="22">
        <f t="shared" si="112"/>
        <v>2.038461538</v>
      </c>
      <c r="N125" s="22">
        <f t="shared" si="112"/>
        <v>8.396538462</v>
      </c>
      <c r="O125" s="51" t="str">
        <f t="shared" si="23"/>
        <v>DETR</v>
      </c>
    </row>
    <row r="126">
      <c r="A126" s="47" t="s">
        <v>139</v>
      </c>
      <c r="B126" s="53">
        <v>3.0</v>
      </c>
      <c r="C126" s="53">
        <v>2.0</v>
      </c>
      <c r="D126" s="53">
        <v>9.0</v>
      </c>
      <c r="E126" s="53">
        <v>5.0</v>
      </c>
      <c r="F126" s="53">
        <v>7.0</v>
      </c>
      <c r="G126" s="23">
        <v>11.538461538461538</v>
      </c>
      <c r="H126" s="50">
        <v>7.6923076923076925</v>
      </c>
      <c r="I126" s="50">
        <v>34.61538461538461</v>
      </c>
      <c r="J126" s="50">
        <v>19.230769230769234</v>
      </c>
      <c r="K126" s="50">
        <v>26.923076923076923</v>
      </c>
      <c r="L126" s="22">
        <f t="shared" ref="L126:N126" si="113">SUMPRODUCT(transpose(D$23:D$27),($G126:$K126)/100)</f>
        <v>7.994230769</v>
      </c>
      <c r="M126" s="22">
        <f t="shared" si="113"/>
        <v>2.038461538</v>
      </c>
      <c r="N126" s="22">
        <f t="shared" si="113"/>
        <v>8.155769231</v>
      </c>
      <c r="O126" s="51" t="str">
        <f t="shared" si="23"/>
        <v>DETR</v>
      </c>
    </row>
    <row r="127">
      <c r="A127" s="47" t="s">
        <v>140</v>
      </c>
      <c r="B127" s="53">
        <v>3.0</v>
      </c>
      <c r="C127" s="53">
        <v>2.0</v>
      </c>
      <c r="D127" s="53">
        <v>7.0</v>
      </c>
      <c r="E127" s="53">
        <v>9.0</v>
      </c>
      <c r="F127" s="53">
        <v>5.0</v>
      </c>
      <c r="G127" s="23">
        <v>11.538461538461538</v>
      </c>
      <c r="H127" s="50">
        <v>7.6923076923076925</v>
      </c>
      <c r="I127" s="50">
        <v>26.923076923076923</v>
      </c>
      <c r="J127" s="50">
        <v>34.61538461538461</v>
      </c>
      <c r="K127" s="50">
        <v>19.230769230769234</v>
      </c>
      <c r="L127" s="22">
        <f t="shared" ref="L127:N127" si="114">SUMPRODUCT(transpose(D$23:D$27),($G127:$K127)/100)</f>
        <v>7.971923077</v>
      </c>
      <c r="M127" s="22">
        <f t="shared" si="114"/>
        <v>2.038461538</v>
      </c>
      <c r="N127" s="22">
        <f t="shared" si="114"/>
        <v>8.396538462</v>
      </c>
      <c r="O127" s="51" t="str">
        <f t="shared" si="23"/>
        <v>DETR</v>
      </c>
    </row>
    <row r="128">
      <c r="A128" s="47" t="s">
        <v>141</v>
      </c>
      <c r="B128" s="53">
        <v>3.0</v>
      </c>
      <c r="C128" s="53">
        <v>2.0</v>
      </c>
      <c r="D128" s="53">
        <v>7.0</v>
      </c>
      <c r="E128" s="53">
        <v>5.0</v>
      </c>
      <c r="F128" s="53">
        <v>9.0</v>
      </c>
      <c r="G128" s="23">
        <v>11.538461538461538</v>
      </c>
      <c r="H128" s="50">
        <v>7.6923076923076925</v>
      </c>
      <c r="I128" s="50">
        <v>26.923076923076923</v>
      </c>
      <c r="J128" s="50">
        <v>19.230769230769234</v>
      </c>
      <c r="K128" s="50">
        <v>34.61538461538461</v>
      </c>
      <c r="L128" s="22">
        <f t="shared" ref="L128:N128" si="115">SUMPRODUCT(transpose(D$23:D$27),($G128:$K128)/100)</f>
        <v>8.098076923</v>
      </c>
      <c r="M128" s="22">
        <f t="shared" si="115"/>
        <v>2.038461538</v>
      </c>
      <c r="N128" s="22">
        <f t="shared" si="115"/>
        <v>7.915</v>
      </c>
      <c r="O128" s="51" t="str">
        <f t="shared" si="23"/>
        <v>Faster R-CNN</v>
      </c>
    </row>
    <row r="129">
      <c r="A129" s="47" t="s">
        <v>142</v>
      </c>
      <c r="B129" s="53">
        <v>3.0</v>
      </c>
      <c r="C129" s="53">
        <v>2.0</v>
      </c>
      <c r="D129" s="53">
        <v>5.0</v>
      </c>
      <c r="E129" s="53">
        <v>9.0</v>
      </c>
      <c r="F129" s="53">
        <v>7.0</v>
      </c>
      <c r="G129" s="23">
        <v>11.538461538461538</v>
      </c>
      <c r="H129" s="50">
        <v>7.6923076923076925</v>
      </c>
      <c r="I129" s="50">
        <v>19.230769230769234</v>
      </c>
      <c r="J129" s="50">
        <v>34.61538461538461</v>
      </c>
      <c r="K129" s="50">
        <v>26.923076923076923</v>
      </c>
      <c r="L129" s="22">
        <f t="shared" ref="L129:N129" si="116">SUMPRODUCT(transpose(D$23:D$27),($G129:$K129)/100)</f>
        <v>8.075769231</v>
      </c>
      <c r="M129" s="22">
        <f t="shared" si="116"/>
        <v>2.038461538</v>
      </c>
      <c r="N129" s="22">
        <f t="shared" si="116"/>
        <v>8.155769231</v>
      </c>
      <c r="O129" s="51" t="str">
        <f t="shared" si="23"/>
        <v>DETR</v>
      </c>
    </row>
    <row r="130">
      <c r="A130" s="47" t="s">
        <v>143</v>
      </c>
      <c r="B130" s="53">
        <v>3.0</v>
      </c>
      <c r="C130" s="53">
        <v>2.0</v>
      </c>
      <c r="D130" s="53">
        <v>5.0</v>
      </c>
      <c r="E130" s="53">
        <v>7.0</v>
      </c>
      <c r="F130" s="53">
        <v>9.0</v>
      </c>
      <c r="G130" s="23">
        <v>11.538461538461538</v>
      </c>
      <c r="H130" s="50">
        <v>7.6923076923076925</v>
      </c>
      <c r="I130" s="50">
        <v>19.230769230769234</v>
      </c>
      <c r="J130" s="50">
        <v>26.923076923076923</v>
      </c>
      <c r="K130" s="50">
        <v>34.61538461538461</v>
      </c>
      <c r="L130" s="22">
        <f t="shared" ref="L130:N130" si="117">SUMPRODUCT(transpose(D$23:D$27),($G130:$K130)/100)</f>
        <v>8.138846154</v>
      </c>
      <c r="M130" s="22">
        <f t="shared" si="117"/>
        <v>2.038461538</v>
      </c>
      <c r="N130" s="22">
        <f t="shared" si="117"/>
        <v>7.915</v>
      </c>
      <c r="O130" s="51" t="str">
        <f t="shared" si="23"/>
        <v>Faster R-CNN</v>
      </c>
    </row>
    <row r="131">
      <c r="A131" s="47" t="s">
        <v>144</v>
      </c>
      <c r="B131" s="53">
        <v>2.0</v>
      </c>
      <c r="C131" s="53">
        <v>9.0</v>
      </c>
      <c r="D131" s="53">
        <v>7.0</v>
      </c>
      <c r="E131" s="53">
        <v>5.0</v>
      </c>
      <c r="F131" s="53">
        <v>3.0</v>
      </c>
      <c r="G131" s="23">
        <v>7.6923076923076925</v>
      </c>
      <c r="H131" s="50">
        <v>34.61538461538461</v>
      </c>
      <c r="I131" s="50">
        <v>26.923076923076923</v>
      </c>
      <c r="J131" s="50">
        <v>19.230769230769234</v>
      </c>
      <c r="K131" s="50">
        <v>11.538461538461538</v>
      </c>
      <c r="L131" s="22">
        <f t="shared" ref="L131:N131" si="118">SUMPRODUCT(transpose(D$23:D$27),($G131:$K131)/100)</f>
        <v>7.246153846</v>
      </c>
      <c r="M131" s="22">
        <f t="shared" si="118"/>
        <v>1.692307692</v>
      </c>
      <c r="N131" s="22">
        <f t="shared" si="118"/>
        <v>8.971153846</v>
      </c>
      <c r="O131" s="51" t="str">
        <f t="shared" si="23"/>
        <v>DETR</v>
      </c>
    </row>
    <row r="132">
      <c r="A132" s="47" t="s">
        <v>145</v>
      </c>
      <c r="B132" s="53">
        <v>2.0</v>
      </c>
      <c r="C132" s="53">
        <v>9.0</v>
      </c>
      <c r="D132" s="53">
        <v>7.0</v>
      </c>
      <c r="E132" s="53">
        <v>3.0</v>
      </c>
      <c r="F132" s="53">
        <v>5.0</v>
      </c>
      <c r="G132" s="23">
        <v>7.6923076923076925</v>
      </c>
      <c r="H132" s="50">
        <v>34.61538461538461</v>
      </c>
      <c r="I132" s="50">
        <v>26.923076923076923</v>
      </c>
      <c r="J132" s="50">
        <v>11.538461538461538</v>
      </c>
      <c r="K132" s="50">
        <v>19.230769230769234</v>
      </c>
      <c r="L132" s="22">
        <f t="shared" ref="L132:N132" si="119">SUMPRODUCT(transpose(D$23:D$27),($G132:$K132)/100)</f>
        <v>7.309230769</v>
      </c>
      <c r="M132" s="22">
        <f t="shared" si="119"/>
        <v>1.692307692</v>
      </c>
      <c r="N132" s="22">
        <f t="shared" si="119"/>
        <v>8.730384615</v>
      </c>
      <c r="O132" s="51" t="str">
        <f t="shared" si="23"/>
        <v>DETR</v>
      </c>
    </row>
    <row r="133">
      <c r="A133" s="47" t="s">
        <v>146</v>
      </c>
      <c r="B133" s="53">
        <v>2.0</v>
      </c>
      <c r="C133" s="53">
        <v>9.0</v>
      </c>
      <c r="D133" s="53">
        <v>5.0</v>
      </c>
      <c r="E133" s="53">
        <v>7.0</v>
      </c>
      <c r="F133" s="53">
        <v>3.0</v>
      </c>
      <c r="G133" s="23">
        <v>7.6923076923076925</v>
      </c>
      <c r="H133" s="50">
        <v>34.61538461538461</v>
      </c>
      <c r="I133" s="50">
        <v>19.230769230769234</v>
      </c>
      <c r="J133" s="50">
        <v>26.923076923076923</v>
      </c>
      <c r="K133" s="50">
        <v>11.538461538461538</v>
      </c>
      <c r="L133" s="22">
        <f t="shared" ref="L133:N133" si="120">SUMPRODUCT(transpose(D$23:D$27),($G133:$K133)/100)</f>
        <v>7.286923077</v>
      </c>
      <c r="M133" s="22">
        <f t="shared" si="120"/>
        <v>1.692307692</v>
      </c>
      <c r="N133" s="22">
        <f t="shared" si="120"/>
        <v>8.971153846</v>
      </c>
      <c r="O133" s="51" t="str">
        <f t="shared" si="23"/>
        <v>DETR</v>
      </c>
    </row>
    <row r="134">
      <c r="A134" s="47" t="s">
        <v>147</v>
      </c>
      <c r="B134" s="53">
        <v>2.0</v>
      </c>
      <c r="C134" s="53">
        <v>9.0</v>
      </c>
      <c r="D134" s="53">
        <v>5.0</v>
      </c>
      <c r="E134" s="53">
        <v>3.0</v>
      </c>
      <c r="F134" s="53">
        <v>7.0</v>
      </c>
      <c r="G134" s="23">
        <v>7.6923076923076925</v>
      </c>
      <c r="H134" s="50">
        <v>34.61538461538461</v>
      </c>
      <c r="I134" s="50">
        <v>19.230769230769234</v>
      </c>
      <c r="J134" s="50">
        <v>11.538461538461538</v>
      </c>
      <c r="K134" s="50">
        <v>26.923076923076923</v>
      </c>
      <c r="L134" s="22">
        <f t="shared" ref="L134:N134" si="121">SUMPRODUCT(transpose(D$23:D$27),($G134:$K134)/100)</f>
        <v>7.413076923</v>
      </c>
      <c r="M134" s="22">
        <f t="shared" si="121"/>
        <v>1.692307692</v>
      </c>
      <c r="N134" s="22">
        <f t="shared" si="121"/>
        <v>8.489615385</v>
      </c>
      <c r="O134" s="51" t="str">
        <f t="shared" si="23"/>
        <v>DETR</v>
      </c>
    </row>
    <row r="135">
      <c r="A135" s="47" t="s">
        <v>148</v>
      </c>
      <c r="B135" s="53">
        <v>2.0</v>
      </c>
      <c r="C135" s="53">
        <v>9.0</v>
      </c>
      <c r="D135" s="53">
        <v>3.0</v>
      </c>
      <c r="E135" s="53">
        <v>7.0</v>
      </c>
      <c r="F135" s="53">
        <v>5.0</v>
      </c>
      <c r="G135" s="23">
        <v>7.6923076923076925</v>
      </c>
      <c r="H135" s="50">
        <v>34.61538461538461</v>
      </c>
      <c r="I135" s="50">
        <v>11.538461538461538</v>
      </c>
      <c r="J135" s="50">
        <v>26.923076923076923</v>
      </c>
      <c r="K135" s="50">
        <v>19.230769230769234</v>
      </c>
      <c r="L135" s="22">
        <f t="shared" ref="L135:N135" si="122">SUMPRODUCT(transpose(D$23:D$27),($G135:$K135)/100)</f>
        <v>7.390769231</v>
      </c>
      <c r="M135" s="22">
        <f t="shared" si="122"/>
        <v>1.692307692</v>
      </c>
      <c r="N135" s="22">
        <f t="shared" si="122"/>
        <v>8.730384615</v>
      </c>
      <c r="O135" s="51" t="str">
        <f t="shared" si="23"/>
        <v>DETR</v>
      </c>
    </row>
    <row r="136">
      <c r="A136" s="47" t="s">
        <v>149</v>
      </c>
      <c r="B136" s="53">
        <v>2.0</v>
      </c>
      <c r="C136" s="53">
        <v>9.0</v>
      </c>
      <c r="D136" s="53">
        <v>3.0</v>
      </c>
      <c r="E136" s="53">
        <v>5.0</v>
      </c>
      <c r="F136" s="53">
        <v>7.0</v>
      </c>
      <c r="G136" s="23">
        <v>7.6923076923076925</v>
      </c>
      <c r="H136" s="50">
        <v>34.61538461538461</v>
      </c>
      <c r="I136" s="50">
        <v>11.538461538461538</v>
      </c>
      <c r="J136" s="50">
        <v>19.230769230769234</v>
      </c>
      <c r="K136" s="50">
        <v>26.923076923076923</v>
      </c>
      <c r="L136" s="22">
        <f t="shared" ref="L136:N136" si="123">SUMPRODUCT(transpose(D$23:D$27),($G136:$K136)/100)</f>
        <v>7.453846154</v>
      </c>
      <c r="M136" s="22">
        <f t="shared" si="123"/>
        <v>1.692307692</v>
      </c>
      <c r="N136" s="22">
        <f t="shared" si="123"/>
        <v>8.489615385</v>
      </c>
      <c r="O136" s="51" t="str">
        <f t="shared" si="23"/>
        <v>DETR</v>
      </c>
    </row>
    <row r="137">
      <c r="A137" s="47" t="s">
        <v>150</v>
      </c>
      <c r="B137" s="53">
        <v>2.0</v>
      </c>
      <c r="C137" s="53">
        <v>7.0</v>
      </c>
      <c r="D137" s="53">
        <v>9.0</v>
      </c>
      <c r="E137" s="53">
        <v>5.0</v>
      </c>
      <c r="F137" s="53">
        <v>3.0</v>
      </c>
      <c r="G137" s="23">
        <v>7.6923076923076925</v>
      </c>
      <c r="H137" s="50">
        <v>26.923076923076923</v>
      </c>
      <c r="I137" s="50">
        <v>34.61538461538461</v>
      </c>
      <c r="J137" s="50">
        <v>19.230769230769234</v>
      </c>
      <c r="K137" s="50">
        <v>11.538461538461538</v>
      </c>
      <c r="L137" s="22">
        <f t="shared" ref="L137:N137" si="124">SUMPRODUCT(transpose(D$23:D$27),($G137:$K137)/100)</f>
        <v>7.484615385</v>
      </c>
      <c r="M137" s="22">
        <f t="shared" si="124"/>
        <v>1.692307692</v>
      </c>
      <c r="N137" s="22">
        <f t="shared" si="124"/>
        <v>8.971153846</v>
      </c>
      <c r="O137" s="51" t="str">
        <f t="shared" si="23"/>
        <v>DETR</v>
      </c>
    </row>
    <row r="138">
      <c r="A138" s="47" t="s">
        <v>151</v>
      </c>
      <c r="B138" s="53">
        <v>2.0</v>
      </c>
      <c r="C138" s="53">
        <v>7.0</v>
      </c>
      <c r="D138" s="53">
        <v>9.0</v>
      </c>
      <c r="E138" s="53">
        <v>3.0</v>
      </c>
      <c r="F138" s="53">
        <v>5.0</v>
      </c>
      <c r="G138" s="23">
        <v>7.6923076923076925</v>
      </c>
      <c r="H138" s="50">
        <v>26.923076923076923</v>
      </c>
      <c r="I138" s="50">
        <v>34.61538461538461</v>
      </c>
      <c r="J138" s="50">
        <v>11.538461538461538</v>
      </c>
      <c r="K138" s="50">
        <v>19.230769230769234</v>
      </c>
      <c r="L138" s="22">
        <f t="shared" ref="L138:N138" si="125">SUMPRODUCT(transpose(D$23:D$27),($G138:$K138)/100)</f>
        <v>7.547692308</v>
      </c>
      <c r="M138" s="22">
        <f t="shared" si="125"/>
        <v>1.692307692</v>
      </c>
      <c r="N138" s="22">
        <f t="shared" si="125"/>
        <v>8.730384615</v>
      </c>
      <c r="O138" s="51" t="str">
        <f t="shared" si="23"/>
        <v>DETR</v>
      </c>
    </row>
    <row r="139">
      <c r="A139" s="47" t="s">
        <v>152</v>
      </c>
      <c r="B139" s="53">
        <v>2.0</v>
      </c>
      <c r="C139" s="53">
        <v>7.0</v>
      </c>
      <c r="D139" s="53">
        <v>5.0</v>
      </c>
      <c r="E139" s="53">
        <v>9.0</v>
      </c>
      <c r="F139" s="53">
        <v>3.0</v>
      </c>
      <c r="G139" s="23">
        <v>7.6923076923076925</v>
      </c>
      <c r="H139" s="50">
        <v>26.923076923076923</v>
      </c>
      <c r="I139" s="50">
        <v>19.230769230769234</v>
      </c>
      <c r="J139" s="50">
        <v>34.61538461538461</v>
      </c>
      <c r="K139" s="50">
        <v>11.538461538461538</v>
      </c>
      <c r="L139" s="22">
        <f t="shared" ref="L139:N139" si="126">SUMPRODUCT(transpose(D$23:D$27),($G139:$K139)/100)</f>
        <v>7.566153846</v>
      </c>
      <c r="M139" s="22">
        <f t="shared" si="126"/>
        <v>1.692307692</v>
      </c>
      <c r="N139" s="22">
        <f t="shared" si="126"/>
        <v>8.971153846</v>
      </c>
      <c r="O139" s="51" t="str">
        <f t="shared" si="23"/>
        <v>DETR</v>
      </c>
    </row>
    <row r="140">
      <c r="A140" s="47" t="s">
        <v>153</v>
      </c>
      <c r="B140" s="53">
        <v>2.0</v>
      </c>
      <c r="C140" s="53">
        <v>7.0</v>
      </c>
      <c r="D140" s="53">
        <v>5.0</v>
      </c>
      <c r="E140" s="53">
        <v>3.0</v>
      </c>
      <c r="F140" s="53">
        <v>9.0</v>
      </c>
      <c r="G140" s="23">
        <v>7.6923076923076925</v>
      </c>
      <c r="H140" s="50">
        <v>26.923076923076923</v>
      </c>
      <c r="I140" s="50">
        <v>19.230769230769234</v>
      </c>
      <c r="J140" s="50">
        <v>11.538461538461538</v>
      </c>
      <c r="K140" s="50">
        <v>34.61538461538461</v>
      </c>
      <c r="L140" s="22">
        <f t="shared" ref="L140:N140" si="127">SUMPRODUCT(transpose(D$23:D$27),($G140:$K140)/100)</f>
        <v>7.755384615</v>
      </c>
      <c r="M140" s="22">
        <f t="shared" si="127"/>
        <v>1.692307692</v>
      </c>
      <c r="N140" s="22">
        <f t="shared" si="127"/>
        <v>8.248846154</v>
      </c>
      <c r="O140" s="51" t="str">
        <f t="shared" si="23"/>
        <v>DETR</v>
      </c>
    </row>
    <row r="141">
      <c r="A141" s="47" t="s">
        <v>154</v>
      </c>
      <c r="B141" s="53">
        <v>2.0</v>
      </c>
      <c r="C141" s="53">
        <v>7.0</v>
      </c>
      <c r="D141" s="53">
        <v>3.0</v>
      </c>
      <c r="E141" s="53">
        <v>9.0</v>
      </c>
      <c r="F141" s="53">
        <v>5.0</v>
      </c>
      <c r="G141" s="23">
        <v>7.6923076923076925</v>
      </c>
      <c r="H141" s="50">
        <v>26.923076923076923</v>
      </c>
      <c r="I141" s="50">
        <v>11.538461538461538</v>
      </c>
      <c r="J141" s="50">
        <v>34.61538461538461</v>
      </c>
      <c r="K141" s="50">
        <v>19.230769230769234</v>
      </c>
      <c r="L141" s="22">
        <f t="shared" ref="L141:N141" si="128">SUMPRODUCT(transpose(D$23:D$27),($G141:$K141)/100)</f>
        <v>7.67</v>
      </c>
      <c r="M141" s="22">
        <f t="shared" si="128"/>
        <v>1.692307692</v>
      </c>
      <c r="N141" s="22">
        <f t="shared" si="128"/>
        <v>8.730384615</v>
      </c>
      <c r="O141" s="51" t="str">
        <f t="shared" si="23"/>
        <v>DETR</v>
      </c>
    </row>
    <row r="142">
      <c r="A142" s="47" t="s">
        <v>155</v>
      </c>
      <c r="B142" s="53">
        <v>2.0</v>
      </c>
      <c r="C142" s="53">
        <v>7.0</v>
      </c>
      <c r="D142" s="53">
        <v>3.0</v>
      </c>
      <c r="E142" s="53">
        <v>5.0</v>
      </c>
      <c r="F142" s="53">
        <v>9.0</v>
      </c>
      <c r="G142" s="23">
        <v>7.6923076923076925</v>
      </c>
      <c r="H142" s="50">
        <v>26.923076923076923</v>
      </c>
      <c r="I142" s="50">
        <v>11.538461538461538</v>
      </c>
      <c r="J142" s="50">
        <v>19.230769230769234</v>
      </c>
      <c r="K142" s="50">
        <v>34.61538461538461</v>
      </c>
      <c r="L142" s="22">
        <f t="shared" ref="L142:N142" si="129">SUMPRODUCT(transpose(D$23:D$27),($G142:$K142)/100)</f>
        <v>7.796153846</v>
      </c>
      <c r="M142" s="22">
        <f t="shared" si="129"/>
        <v>1.692307692</v>
      </c>
      <c r="N142" s="22">
        <f t="shared" si="129"/>
        <v>8.248846154</v>
      </c>
      <c r="O142" s="51" t="str">
        <f t="shared" si="23"/>
        <v>DETR</v>
      </c>
    </row>
    <row r="143">
      <c r="A143" s="47" t="s">
        <v>156</v>
      </c>
      <c r="B143" s="53">
        <v>2.0</v>
      </c>
      <c r="C143" s="53">
        <v>5.0</v>
      </c>
      <c r="D143" s="53">
        <v>9.0</v>
      </c>
      <c r="E143" s="53">
        <v>7.0</v>
      </c>
      <c r="F143" s="53">
        <v>3.0</v>
      </c>
      <c r="G143" s="23">
        <v>7.6923076923076925</v>
      </c>
      <c r="H143" s="50">
        <v>19.230769230769234</v>
      </c>
      <c r="I143" s="50">
        <v>34.61538461538461</v>
      </c>
      <c r="J143" s="50">
        <v>26.923076923076923</v>
      </c>
      <c r="K143" s="50">
        <v>11.538461538461538</v>
      </c>
      <c r="L143" s="22">
        <f t="shared" ref="L143:N143" si="130">SUMPRODUCT(transpose(D$23:D$27),($G143:$K143)/100)</f>
        <v>7.763846154</v>
      </c>
      <c r="M143" s="22">
        <f t="shared" si="130"/>
        <v>1.692307692</v>
      </c>
      <c r="N143" s="22">
        <f t="shared" si="130"/>
        <v>8.971153846</v>
      </c>
      <c r="O143" s="51" t="str">
        <f t="shared" si="23"/>
        <v>DETR</v>
      </c>
    </row>
    <row r="144">
      <c r="A144" s="47" t="s">
        <v>157</v>
      </c>
      <c r="B144" s="53">
        <v>2.0</v>
      </c>
      <c r="C144" s="53">
        <v>5.0</v>
      </c>
      <c r="D144" s="53">
        <v>9.0</v>
      </c>
      <c r="E144" s="53">
        <v>3.0</v>
      </c>
      <c r="F144" s="53">
        <v>7.0</v>
      </c>
      <c r="G144" s="23">
        <v>7.6923076923076925</v>
      </c>
      <c r="H144" s="50">
        <v>19.230769230769234</v>
      </c>
      <c r="I144" s="50">
        <v>34.61538461538461</v>
      </c>
      <c r="J144" s="50">
        <v>11.538461538461538</v>
      </c>
      <c r="K144" s="50">
        <v>26.923076923076923</v>
      </c>
      <c r="L144" s="22">
        <f t="shared" ref="L144:N144" si="131">SUMPRODUCT(transpose(D$23:D$27),($G144:$K144)/100)</f>
        <v>7.89</v>
      </c>
      <c r="M144" s="22">
        <f t="shared" si="131"/>
        <v>1.692307692</v>
      </c>
      <c r="N144" s="22">
        <f t="shared" si="131"/>
        <v>8.489615385</v>
      </c>
      <c r="O144" s="51" t="str">
        <f t="shared" si="23"/>
        <v>DETR</v>
      </c>
    </row>
    <row r="145">
      <c r="A145" s="47" t="s">
        <v>158</v>
      </c>
      <c r="B145" s="53">
        <v>2.0</v>
      </c>
      <c r="C145" s="53">
        <v>5.0</v>
      </c>
      <c r="D145" s="53">
        <v>7.0</v>
      </c>
      <c r="E145" s="53">
        <v>9.0</v>
      </c>
      <c r="F145" s="53">
        <v>3.0</v>
      </c>
      <c r="G145" s="23">
        <v>7.6923076923076925</v>
      </c>
      <c r="H145" s="50">
        <v>19.230769230769234</v>
      </c>
      <c r="I145" s="50">
        <v>26.923076923076923</v>
      </c>
      <c r="J145" s="50">
        <v>34.61538461538461</v>
      </c>
      <c r="K145" s="50">
        <v>11.538461538461538</v>
      </c>
      <c r="L145" s="22">
        <f t="shared" ref="L145:N145" si="132">SUMPRODUCT(transpose(D$23:D$27),($G145:$K145)/100)</f>
        <v>7.804615385</v>
      </c>
      <c r="M145" s="22">
        <f t="shared" si="132"/>
        <v>1.692307692</v>
      </c>
      <c r="N145" s="22">
        <f t="shared" si="132"/>
        <v>8.971153846</v>
      </c>
      <c r="O145" s="51" t="str">
        <f t="shared" si="23"/>
        <v>DETR</v>
      </c>
    </row>
    <row r="146">
      <c r="A146" s="47" t="s">
        <v>159</v>
      </c>
      <c r="B146" s="53">
        <v>2.0</v>
      </c>
      <c r="C146" s="53">
        <v>5.0</v>
      </c>
      <c r="D146" s="53">
        <v>7.0</v>
      </c>
      <c r="E146" s="53">
        <v>3.0</v>
      </c>
      <c r="F146" s="53">
        <v>9.0</v>
      </c>
      <c r="G146" s="23">
        <v>7.6923076923076925</v>
      </c>
      <c r="H146" s="50">
        <v>19.230769230769234</v>
      </c>
      <c r="I146" s="50">
        <v>26.923076923076923</v>
      </c>
      <c r="J146" s="50">
        <v>11.538461538461538</v>
      </c>
      <c r="K146" s="50">
        <v>34.61538461538461</v>
      </c>
      <c r="L146" s="22">
        <f t="shared" ref="L146:N146" si="133">SUMPRODUCT(transpose(D$23:D$27),($G146:$K146)/100)</f>
        <v>7.993846154</v>
      </c>
      <c r="M146" s="22">
        <f t="shared" si="133"/>
        <v>1.692307692</v>
      </c>
      <c r="N146" s="22">
        <f t="shared" si="133"/>
        <v>8.248846154</v>
      </c>
      <c r="O146" s="51" t="str">
        <f t="shared" si="23"/>
        <v>DETR</v>
      </c>
    </row>
    <row r="147">
      <c r="A147" s="47" t="s">
        <v>160</v>
      </c>
      <c r="B147" s="53">
        <v>2.0</v>
      </c>
      <c r="C147" s="53">
        <v>5.0</v>
      </c>
      <c r="D147" s="53">
        <v>3.0</v>
      </c>
      <c r="E147" s="53">
        <v>9.0</v>
      </c>
      <c r="F147" s="53">
        <v>7.0</v>
      </c>
      <c r="G147" s="23">
        <v>7.6923076923076925</v>
      </c>
      <c r="H147" s="50">
        <v>19.230769230769234</v>
      </c>
      <c r="I147" s="50">
        <v>11.538461538461538</v>
      </c>
      <c r="J147" s="50">
        <v>34.61538461538461</v>
      </c>
      <c r="K147" s="50">
        <v>26.923076923076923</v>
      </c>
      <c r="L147" s="22">
        <f t="shared" ref="L147:N147" si="134">SUMPRODUCT(transpose(D$23:D$27),($G147:$K147)/100)</f>
        <v>8.012307692</v>
      </c>
      <c r="M147" s="22">
        <f t="shared" si="134"/>
        <v>1.692307692</v>
      </c>
      <c r="N147" s="22">
        <f t="shared" si="134"/>
        <v>8.489615385</v>
      </c>
      <c r="O147" s="51" t="str">
        <f t="shared" si="23"/>
        <v>DETR</v>
      </c>
    </row>
    <row r="148">
      <c r="A148" s="47" t="s">
        <v>161</v>
      </c>
      <c r="B148" s="53">
        <v>2.0</v>
      </c>
      <c r="C148" s="53">
        <v>5.0</v>
      </c>
      <c r="D148" s="53">
        <v>3.0</v>
      </c>
      <c r="E148" s="53">
        <v>7.0</v>
      </c>
      <c r="F148" s="53">
        <v>9.0</v>
      </c>
      <c r="G148" s="23">
        <v>7.6923076923076925</v>
      </c>
      <c r="H148" s="50">
        <v>19.230769230769234</v>
      </c>
      <c r="I148" s="50">
        <v>11.538461538461538</v>
      </c>
      <c r="J148" s="50">
        <v>26.923076923076923</v>
      </c>
      <c r="K148" s="50">
        <v>34.61538461538461</v>
      </c>
      <c r="L148" s="22">
        <f t="shared" ref="L148:N148" si="135">SUMPRODUCT(transpose(D$23:D$27),($G148:$K148)/100)</f>
        <v>8.075384615</v>
      </c>
      <c r="M148" s="22">
        <f t="shared" si="135"/>
        <v>1.692307692</v>
      </c>
      <c r="N148" s="22">
        <f t="shared" si="135"/>
        <v>8.248846154</v>
      </c>
      <c r="O148" s="51" t="str">
        <f t="shared" si="23"/>
        <v>DETR</v>
      </c>
    </row>
    <row r="149">
      <c r="A149" s="47" t="s">
        <v>162</v>
      </c>
      <c r="B149" s="53">
        <v>2.0</v>
      </c>
      <c r="C149" s="53">
        <v>3.0</v>
      </c>
      <c r="D149" s="53">
        <v>9.0</v>
      </c>
      <c r="E149" s="53">
        <v>7.0</v>
      </c>
      <c r="F149" s="53">
        <v>5.0</v>
      </c>
      <c r="G149" s="23">
        <v>7.6923076923076925</v>
      </c>
      <c r="H149" s="50">
        <v>11.538461538461538</v>
      </c>
      <c r="I149" s="50">
        <v>34.61538461538461</v>
      </c>
      <c r="J149" s="50">
        <v>26.923076923076923</v>
      </c>
      <c r="K149" s="50">
        <v>19.230769230769234</v>
      </c>
      <c r="L149" s="22">
        <f t="shared" ref="L149:N149" si="136">SUMPRODUCT(transpose(D$23:D$27),($G149:$K149)/100)</f>
        <v>8.106153846</v>
      </c>
      <c r="M149" s="22">
        <f t="shared" si="136"/>
        <v>1.692307692</v>
      </c>
      <c r="N149" s="22">
        <f t="shared" si="136"/>
        <v>8.730384615</v>
      </c>
      <c r="O149" s="51" t="str">
        <f t="shared" si="23"/>
        <v>DETR</v>
      </c>
    </row>
    <row r="150">
      <c r="A150" s="47" t="s">
        <v>163</v>
      </c>
      <c r="B150" s="53">
        <v>2.0</v>
      </c>
      <c r="C150" s="53">
        <v>3.0</v>
      </c>
      <c r="D150" s="53">
        <v>9.0</v>
      </c>
      <c r="E150" s="53">
        <v>5.0</v>
      </c>
      <c r="F150" s="53">
        <v>7.0</v>
      </c>
      <c r="G150" s="23">
        <v>7.6923076923076925</v>
      </c>
      <c r="H150" s="50">
        <v>11.538461538461538</v>
      </c>
      <c r="I150" s="50">
        <v>34.61538461538461</v>
      </c>
      <c r="J150" s="50">
        <v>19.230769230769234</v>
      </c>
      <c r="K150" s="50">
        <v>26.923076923076923</v>
      </c>
      <c r="L150" s="22">
        <f t="shared" ref="L150:N150" si="137">SUMPRODUCT(transpose(D$23:D$27),($G150:$K150)/100)</f>
        <v>8.169230769</v>
      </c>
      <c r="M150" s="22">
        <f t="shared" si="137"/>
        <v>1.692307692</v>
      </c>
      <c r="N150" s="22">
        <f t="shared" si="137"/>
        <v>8.489615385</v>
      </c>
      <c r="O150" s="51" t="str">
        <f t="shared" si="23"/>
        <v>DETR</v>
      </c>
    </row>
    <row r="151">
      <c r="A151" s="47" t="s">
        <v>164</v>
      </c>
      <c r="B151" s="53">
        <v>2.0</v>
      </c>
      <c r="C151" s="53">
        <v>3.0</v>
      </c>
      <c r="D151" s="53">
        <v>7.0</v>
      </c>
      <c r="E151" s="53">
        <v>9.0</v>
      </c>
      <c r="F151" s="53">
        <v>5.0</v>
      </c>
      <c r="G151" s="23">
        <v>7.6923076923076925</v>
      </c>
      <c r="H151" s="50">
        <v>11.538461538461538</v>
      </c>
      <c r="I151" s="50">
        <v>26.923076923076923</v>
      </c>
      <c r="J151" s="50">
        <v>34.61538461538461</v>
      </c>
      <c r="K151" s="50">
        <v>19.230769230769234</v>
      </c>
      <c r="L151" s="22">
        <f t="shared" ref="L151:N151" si="138">SUMPRODUCT(transpose(D$23:D$27),($G151:$K151)/100)</f>
        <v>8.146923077</v>
      </c>
      <c r="M151" s="22">
        <f t="shared" si="138"/>
        <v>1.692307692</v>
      </c>
      <c r="N151" s="22">
        <f t="shared" si="138"/>
        <v>8.730384615</v>
      </c>
      <c r="O151" s="51" t="str">
        <f t="shared" si="23"/>
        <v>DETR</v>
      </c>
    </row>
    <row r="152">
      <c r="A152" s="47" t="s">
        <v>165</v>
      </c>
      <c r="B152" s="53">
        <v>2.0</v>
      </c>
      <c r="C152" s="53">
        <v>3.0</v>
      </c>
      <c r="D152" s="53">
        <v>7.0</v>
      </c>
      <c r="E152" s="53">
        <v>5.0</v>
      </c>
      <c r="F152" s="53">
        <v>9.0</v>
      </c>
      <c r="G152" s="23">
        <v>7.6923076923076925</v>
      </c>
      <c r="H152" s="50">
        <v>11.538461538461538</v>
      </c>
      <c r="I152" s="50">
        <v>26.923076923076923</v>
      </c>
      <c r="J152" s="50">
        <v>19.230769230769234</v>
      </c>
      <c r="K152" s="50">
        <v>34.61538461538461</v>
      </c>
      <c r="L152" s="22">
        <f t="shared" ref="L152:N152" si="139">SUMPRODUCT(transpose(D$23:D$27),($G152:$K152)/100)</f>
        <v>8.273076923</v>
      </c>
      <c r="M152" s="22">
        <f t="shared" si="139"/>
        <v>1.692307692</v>
      </c>
      <c r="N152" s="22">
        <f t="shared" si="139"/>
        <v>8.248846154</v>
      </c>
      <c r="O152" s="51" t="str">
        <f t="shared" si="23"/>
        <v>Faster R-CNN</v>
      </c>
    </row>
    <row r="153">
      <c r="A153" s="47" t="s">
        <v>166</v>
      </c>
      <c r="B153" s="53">
        <v>2.0</v>
      </c>
      <c r="C153" s="53">
        <v>3.0</v>
      </c>
      <c r="D153" s="53">
        <v>5.0</v>
      </c>
      <c r="E153" s="53">
        <v>9.0</v>
      </c>
      <c r="F153" s="53">
        <v>7.0</v>
      </c>
      <c r="G153" s="23">
        <v>7.6923076923076925</v>
      </c>
      <c r="H153" s="50">
        <v>11.538461538461538</v>
      </c>
      <c r="I153" s="50">
        <v>19.230769230769234</v>
      </c>
      <c r="J153" s="50">
        <v>34.61538461538461</v>
      </c>
      <c r="K153" s="50">
        <v>26.923076923076923</v>
      </c>
      <c r="L153" s="22">
        <f t="shared" ref="L153:N153" si="140">SUMPRODUCT(transpose(D$23:D$27),($G153:$K153)/100)</f>
        <v>8.250769231</v>
      </c>
      <c r="M153" s="22">
        <f t="shared" si="140"/>
        <v>1.692307692</v>
      </c>
      <c r="N153" s="22">
        <f t="shared" si="140"/>
        <v>8.489615385</v>
      </c>
      <c r="O153" s="51" t="str">
        <f t="shared" si="23"/>
        <v>DETR</v>
      </c>
    </row>
    <row r="154">
      <c r="A154" s="47" t="s">
        <v>167</v>
      </c>
      <c r="B154" s="53">
        <v>2.0</v>
      </c>
      <c r="C154" s="53">
        <v>3.0</v>
      </c>
      <c r="D154" s="53">
        <v>5.0</v>
      </c>
      <c r="E154" s="53">
        <v>7.0</v>
      </c>
      <c r="F154" s="53">
        <v>9.0</v>
      </c>
      <c r="G154" s="23">
        <v>7.6923076923076925</v>
      </c>
      <c r="H154" s="50">
        <v>11.538461538461538</v>
      </c>
      <c r="I154" s="50">
        <v>19.230769230769234</v>
      </c>
      <c r="J154" s="50">
        <v>26.923076923076923</v>
      </c>
      <c r="K154" s="50">
        <v>34.61538461538461</v>
      </c>
      <c r="L154" s="22">
        <f t="shared" ref="L154:N154" si="141">SUMPRODUCT(transpose(D$23:D$27),($G154:$K154)/100)</f>
        <v>8.313846154</v>
      </c>
      <c r="M154" s="22">
        <f t="shared" si="141"/>
        <v>1.692307692</v>
      </c>
      <c r="N154" s="22">
        <f t="shared" si="141"/>
        <v>8.248846154</v>
      </c>
      <c r="O154" s="51" t="str">
        <f t="shared" si="23"/>
        <v>Faster R-CNN</v>
      </c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16"/>
      <c r="C316" s="16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  <row r="1000">
      <c r="A1000" s="3"/>
      <c r="B1000" s="3"/>
      <c r="C1000" s="3"/>
      <c r="D1000" s="3"/>
      <c r="E1000" s="3"/>
      <c r="F1000" s="3"/>
      <c r="G1000" s="3"/>
    </row>
    <row r="1001">
      <c r="A1001" s="3"/>
      <c r="B1001" s="3"/>
      <c r="C1001" s="3"/>
      <c r="D1001" s="3"/>
      <c r="E1001" s="3"/>
      <c r="F1001" s="3"/>
      <c r="G1001" s="3"/>
    </row>
    <row r="1002">
      <c r="A1002" s="3"/>
      <c r="B1002" s="3"/>
      <c r="C1002" s="3"/>
      <c r="D1002" s="3"/>
      <c r="E1002" s="3"/>
      <c r="F1002" s="3"/>
      <c r="G1002" s="3"/>
    </row>
    <row r="1003">
      <c r="A1003" s="3"/>
      <c r="B1003" s="3"/>
      <c r="C1003" s="3"/>
      <c r="D1003" s="3"/>
      <c r="E1003" s="3"/>
      <c r="F1003" s="3"/>
      <c r="G1003" s="3"/>
    </row>
  </sheetData>
  <mergeCells count="19">
    <mergeCell ref="D21:F21"/>
    <mergeCell ref="L21:N21"/>
    <mergeCell ref="O21:Q21"/>
    <mergeCell ref="A2:A3"/>
    <mergeCell ref="B2:D2"/>
    <mergeCell ref="A11:A12"/>
    <mergeCell ref="B11:B12"/>
    <mergeCell ref="C11:D11"/>
    <mergeCell ref="A21:A22"/>
    <mergeCell ref="B21:C21"/>
    <mergeCell ref="G33:K33"/>
    <mergeCell ref="L33:N33"/>
    <mergeCell ref="A32:A33"/>
    <mergeCell ref="B32:F32"/>
    <mergeCell ref="G32:K32"/>
    <mergeCell ref="L32:N32"/>
    <mergeCell ref="P32:R33"/>
    <mergeCell ref="S32:U33"/>
    <mergeCell ref="B33:F33"/>
  </mergeCells>
  <drawing r:id="rId1"/>
</worksheet>
</file>